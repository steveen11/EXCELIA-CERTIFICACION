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39202cfd2ff2e50/Escritorio/"/>
    </mc:Choice>
  </mc:AlternateContent>
  <xr:revisionPtr revIDLastSave="4" documentId="8_{4F4F48F4-F383-4375-8B2E-F88FB3B2D311}" xr6:coauthVersionLast="47" xr6:coauthVersionMax="47" xr10:uidLastSave="{503C1D9C-BBF6-4BCE-89A5-A5D5768330F5}"/>
  <bookViews>
    <workbookView xWindow="-110" yWindow="-110" windowWidth="19420" windowHeight="10300" activeTab="4" xr2:uid="{00000000-000D-0000-FFFF-FFFF00000000}"/>
  </bookViews>
  <sheets>
    <sheet name="Portada" sheetId="1" r:id="rId1"/>
    <sheet name="Datos_Raw" sheetId="2" r:id="rId2"/>
    <sheet name="Datos_Limpios" sheetId="3" r:id="rId3"/>
    <sheet name="Dashboard" sheetId="4" r:id="rId4"/>
    <sheet name="Pronostico" sheetId="5" r:id="rId5"/>
    <sheet name="Resumen" sheetId="6" r:id="rId6"/>
    <sheet name="Documentacion" sheetId="7" r:id="rId7"/>
    <sheet name="Listas" sheetId="8" state="hidden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5" i="3" l="1"/>
  <c r="F75" i="3"/>
  <c r="H75" i="3" s="1"/>
  <c r="E75" i="3"/>
  <c r="D75" i="3"/>
  <c r="I75" i="3" s="1"/>
  <c r="C75" i="3"/>
  <c r="A75" i="3"/>
  <c r="B75" i="3" s="1"/>
  <c r="G74" i="3"/>
  <c r="F74" i="3"/>
  <c r="I74" i="3" s="1"/>
  <c r="E74" i="3"/>
  <c r="D74" i="3"/>
  <c r="C74" i="3"/>
  <c r="B74" i="3"/>
  <c r="A74" i="3"/>
  <c r="G73" i="3"/>
  <c r="F73" i="3"/>
  <c r="H73" i="3" s="1"/>
  <c r="E73" i="3"/>
  <c r="D73" i="3"/>
  <c r="I73" i="3" s="1"/>
  <c r="C73" i="3"/>
  <c r="A73" i="3"/>
  <c r="B73" i="3" s="1"/>
  <c r="H72" i="3"/>
  <c r="G72" i="3"/>
  <c r="F72" i="3"/>
  <c r="E72" i="3"/>
  <c r="D72" i="3"/>
  <c r="I72" i="3" s="1"/>
  <c r="C72" i="3"/>
  <c r="B72" i="3"/>
  <c r="A72" i="3"/>
  <c r="G71" i="3"/>
  <c r="F71" i="3"/>
  <c r="H71" i="3" s="1"/>
  <c r="E71" i="3"/>
  <c r="D71" i="3"/>
  <c r="I71" i="3" s="1"/>
  <c r="C71" i="3"/>
  <c r="A71" i="3"/>
  <c r="B71" i="3" s="1"/>
  <c r="G70" i="3"/>
  <c r="F70" i="3"/>
  <c r="H70" i="3" s="1"/>
  <c r="E70" i="3"/>
  <c r="D70" i="3"/>
  <c r="I70" i="3" s="1"/>
  <c r="C70" i="3"/>
  <c r="A70" i="3"/>
  <c r="B70" i="3" s="1"/>
  <c r="G69" i="3"/>
  <c r="F69" i="3"/>
  <c r="H69" i="3" s="1"/>
  <c r="E69" i="3"/>
  <c r="I69" i="3" s="1"/>
  <c r="D69" i="3"/>
  <c r="C69" i="3"/>
  <c r="A69" i="3"/>
  <c r="B69" i="3" s="1"/>
  <c r="G68" i="3"/>
  <c r="F68" i="3"/>
  <c r="H68" i="3" s="1"/>
  <c r="E68" i="3"/>
  <c r="D68" i="3"/>
  <c r="I68" i="3" s="1"/>
  <c r="C68" i="3"/>
  <c r="A68" i="3"/>
  <c r="B68" i="3" s="1"/>
  <c r="G67" i="3"/>
  <c r="H67" i="3" s="1"/>
  <c r="F67" i="3"/>
  <c r="E67" i="3"/>
  <c r="I67" i="3" s="1"/>
  <c r="D67" i="3"/>
  <c r="C67" i="3"/>
  <c r="A67" i="3"/>
  <c r="B67" i="3" s="1"/>
  <c r="G66" i="3"/>
  <c r="F66" i="3"/>
  <c r="H66" i="3" s="1"/>
  <c r="E66" i="3"/>
  <c r="D66" i="3"/>
  <c r="I66" i="3" s="1"/>
  <c r="C66" i="3"/>
  <c r="A66" i="3"/>
  <c r="B66" i="3" s="1"/>
  <c r="G65" i="3"/>
  <c r="I65" i="3" s="1"/>
  <c r="F65" i="3"/>
  <c r="H65" i="3" s="1"/>
  <c r="E65" i="3"/>
  <c r="D65" i="3"/>
  <c r="C65" i="3"/>
  <c r="A65" i="3"/>
  <c r="B65" i="3" s="1"/>
  <c r="G64" i="3"/>
  <c r="F64" i="3"/>
  <c r="H64" i="3" s="1"/>
  <c r="E64" i="3"/>
  <c r="D64" i="3"/>
  <c r="I64" i="3" s="1"/>
  <c r="C64" i="3"/>
  <c r="B64" i="3"/>
  <c r="A64" i="3"/>
  <c r="I63" i="3"/>
  <c r="G63" i="3"/>
  <c r="F63" i="3"/>
  <c r="H63" i="3" s="1"/>
  <c r="E63" i="3"/>
  <c r="D63" i="3"/>
  <c r="C63" i="3"/>
  <c r="A63" i="3"/>
  <c r="B63" i="3" s="1"/>
  <c r="G62" i="3"/>
  <c r="F62" i="3"/>
  <c r="H62" i="3" s="1"/>
  <c r="E62" i="3"/>
  <c r="D62" i="3"/>
  <c r="I62" i="3" s="1"/>
  <c r="C62" i="3"/>
  <c r="B62" i="3"/>
  <c r="A62" i="3"/>
  <c r="G61" i="3"/>
  <c r="H61" i="3" s="1"/>
  <c r="F61" i="3"/>
  <c r="E61" i="3"/>
  <c r="I61" i="3" s="1"/>
  <c r="D61" i="3"/>
  <c r="C61" i="3"/>
  <c r="A61" i="3"/>
  <c r="B61" i="3" s="1"/>
  <c r="G60" i="3"/>
  <c r="F60" i="3"/>
  <c r="H60" i="3" s="1"/>
  <c r="E60" i="3"/>
  <c r="D60" i="3"/>
  <c r="I60" i="3" s="1"/>
  <c r="C60" i="3"/>
  <c r="A60" i="3"/>
  <c r="B60" i="3" s="1"/>
  <c r="G59" i="3"/>
  <c r="H59" i="3" s="1"/>
  <c r="F59" i="3"/>
  <c r="E59" i="3"/>
  <c r="D59" i="3"/>
  <c r="I59" i="3" s="1"/>
  <c r="C59" i="3"/>
  <c r="A59" i="3"/>
  <c r="B59" i="3" s="1"/>
  <c r="G58" i="3"/>
  <c r="F58" i="3"/>
  <c r="H58" i="3" s="1"/>
  <c r="E58" i="3"/>
  <c r="D58" i="3"/>
  <c r="C58" i="3"/>
  <c r="B58" i="3"/>
  <c r="A58" i="3"/>
  <c r="G57" i="3"/>
  <c r="F57" i="3"/>
  <c r="H57" i="3" s="1"/>
  <c r="E57" i="3"/>
  <c r="D57" i="3"/>
  <c r="I57" i="3" s="1"/>
  <c r="C57" i="3"/>
  <c r="A57" i="3"/>
  <c r="B57" i="3" s="1"/>
  <c r="H56" i="3"/>
  <c r="G56" i="3"/>
  <c r="F56" i="3"/>
  <c r="E56" i="3"/>
  <c r="D56" i="3"/>
  <c r="I56" i="3" s="1"/>
  <c r="C56" i="3"/>
  <c r="B56" i="3"/>
  <c r="A56" i="3"/>
  <c r="G55" i="3"/>
  <c r="F55" i="3"/>
  <c r="H55" i="3" s="1"/>
  <c r="E55" i="3"/>
  <c r="D55" i="3"/>
  <c r="I55" i="3" s="1"/>
  <c r="C55" i="3"/>
  <c r="A55" i="3"/>
  <c r="B55" i="3" s="1"/>
  <c r="G54" i="3"/>
  <c r="F54" i="3"/>
  <c r="H54" i="3" s="1"/>
  <c r="E54" i="3"/>
  <c r="D54" i="3"/>
  <c r="I54" i="3" s="1"/>
  <c r="C54" i="3"/>
  <c r="A54" i="3"/>
  <c r="B54" i="3" s="1"/>
  <c r="G53" i="3"/>
  <c r="F53" i="3"/>
  <c r="H53" i="3" s="1"/>
  <c r="E53" i="3"/>
  <c r="I53" i="3" s="1"/>
  <c r="D53" i="3"/>
  <c r="C53" i="3"/>
  <c r="B53" i="3"/>
  <c r="A53" i="3"/>
  <c r="G52" i="3"/>
  <c r="F52" i="3"/>
  <c r="H52" i="3" s="1"/>
  <c r="E52" i="3"/>
  <c r="D52" i="3"/>
  <c r="I52" i="3" s="1"/>
  <c r="C52" i="3"/>
  <c r="A52" i="3"/>
  <c r="B52" i="3" s="1"/>
  <c r="G51" i="3"/>
  <c r="H51" i="3" s="1"/>
  <c r="F51" i="3"/>
  <c r="E51" i="3"/>
  <c r="I51" i="3" s="1"/>
  <c r="D51" i="3"/>
  <c r="C51" i="3"/>
  <c r="A51" i="3"/>
  <c r="B51" i="3" s="1"/>
  <c r="G50" i="3"/>
  <c r="F50" i="3"/>
  <c r="H50" i="3" s="1"/>
  <c r="E50" i="3"/>
  <c r="D50" i="3"/>
  <c r="I50" i="3" s="1"/>
  <c r="C50" i="3"/>
  <c r="A50" i="3"/>
  <c r="B50" i="3" s="1"/>
  <c r="G49" i="3"/>
  <c r="I49" i="3" s="1"/>
  <c r="F49" i="3"/>
  <c r="H49" i="3" s="1"/>
  <c r="E49" i="3"/>
  <c r="D49" i="3"/>
  <c r="C49" i="3"/>
  <c r="A49" i="3"/>
  <c r="B49" i="3" s="1"/>
  <c r="G48" i="3"/>
  <c r="F48" i="3"/>
  <c r="H48" i="3" s="1"/>
  <c r="E48" i="3"/>
  <c r="D48" i="3"/>
  <c r="I48" i="3" s="1"/>
  <c r="C48" i="3"/>
  <c r="B48" i="3"/>
  <c r="A48" i="3"/>
  <c r="I47" i="3"/>
  <c r="H47" i="3"/>
  <c r="G47" i="3"/>
  <c r="F47" i="3"/>
  <c r="E47" i="3"/>
  <c r="D47" i="3"/>
  <c r="C47" i="3"/>
  <c r="A47" i="3"/>
  <c r="B47" i="3" s="1"/>
  <c r="G46" i="3"/>
  <c r="F46" i="3"/>
  <c r="H46" i="3" s="1"/>
  <c r="E46" i="3"/>
  <c r="D46" i="3"/>
  <c r="I46" i="3" s="1"/>
  <c r="C46" i="3"/>
  <c r="B46" i="3"/>
  <c r="A46" i="3"/>
  <c r="G45" i="3"/>
  <c r="H45" i="3" s="1"/>
  <c r="F45" i="3"/>
  <c r="E45" i="3"/>
  <c r="I45" i="3" s="1"/>
  <c r="D45" i="3"/>
  <c r="C45" i="3"/>
  <c r="A45" i="3"/>
  <c r="B45" i="3" s="1"/>
  <c r="G44" i="3"/>
  <c r="F44" i="3"/>
  <c r="H44" i="3" s="1"/>
  <c r="E44" i="3"/>
  <c r="D44" i="3"/>
  <c r="I44" i="3" s="1"/>
  <c r="C44" i="3"/>
  <c r="A44" i="3"/>
  <c r="B44" i="3" s="1"/>
  <c r="G43" i="3"/>
  <c r="H43" i="3" s="1"/>
  <c r="F43" i="3"/>
  <c r="E43" i="3"/>
  <c r="D43" i="3"/>
  <c r="I43" i="3" s="1"/>
  <c r="C43" i="3"/>
  <c r="A43" i="3"/>
  <c r="B43" i="3" s="1"/>
  <c r="G42" i="3"/>
  <c r="F42" i="3"/>
  <c r="H42" i="3" s="1"/>
  <c r="E42" i="3"/>
  <c r="D42" i="3"/>
  <c r="C42" i="3"/>
  <c r="B42" i="3"/>
  <c r="A42" i="3"/>
  <c r="G41" i="3"/>
  <c r="F41" i="3"/>
  <c r="H41" i="3" s="1"/>
  <c r="E41" i="3"/>
  <c r="D41" i="3"/>
  <c r="I41" i="3" s="1"/>
  <c r="C41" i="3"/>
  <c r="A41" i="3"/>
  <c r="B41" i="3" s="1"/>
  <c r="H40" i="3"/>
  <c r="G40" i="3"/>
  <c r="F40" i="3"/>
  <c r="E40" i="3"/>
  <c r="D40" i="3"/>
  <c r="I40" i="3" s="1"/>
  <c r="C40" i="3"/>
  <c r="B40" i="3"/>
  <c r="A40" i="3"/>
  <c r="G39" i="3"/>
  <c r="F39" i="3"/>
  <c r="H39" i="3" s="1"/>
  <c r="E39" i="3"/>
  <c r="D39" i="3"/>
  <c r="I39" i="3" s="1"/>
  <c r="C39" i="3"/>
  <c r="A39" i="3"/>
  <c r="B39" i="3" s="1"/>
  <c r="G38" i="3"/>
  <c r="F38" i="3"/>
  <c r="H38" i="3" s="1"/>
  <c r="E38" i="3"/>
  <c r="D38" i="3"/>
  <c r="I38" i="3" s="1"/>
  <c r="C38" i="3"/>
  <c r="A38" i="3"/>
  <c r="B38" i="3" s="1"/>
  <c r="G37" i="3"/>
  <c r="F37" i="3"/>
  <c r="H37" i="3" s="1"/>
  <c r="E37" i="3"/>
  <c r="I37" i="3" s="1"/>
  <c r="D37" i="3"/>
  <c r="C37" i="3"/>
  <c r="B37" i="3"/>
  <c r="A37" i="3"/>
  <c r="G36" i="3"/>
  <c r="F36" i="3"/>
  <c r="H36" i="3" s="1"/>
  <c r="E36" i="3"/>
  <c r="D36" i="3"/>
  <c r="I36" i="3" s="1"/>
  <c r="C36" i="3"/>
  <c r="A36" i="3"/>
  <c r="B36" i="3" s="1"/>
  <c r="G35" i="3"/>
  <c r="H35" i="3" s="1"/>
  <c r="F35" i="3"/>
  <c r="E35" i="3"/>
  <c r="I35" i="3" s="1"/>
  <c r="D35" i="3"/>
  <c r="C35" i="3"/>
  <c r="A35" i="3"/>
  <c r="B35" i="3" s="1"/>
  <c r="G34" i="3"/>
  <c r="F34" i="3"/>
  <c r="H34" i="3" s="1"/>
  <c r="E34" i="3"/>
  <c r="D34" i="3"/>
  <c r="I34" i="3" s="1"/>
  <c r="C34" i="3"/>
  <c r="A34" i="3"/>
  <c r="B34" i="3" s="1"/>
  <c r="G33" i="3"/>
  <c r="I33" i="3" s="1"/>
  <c r="F33" i="3"/>
  <c r="H33" i="3" s="1"/>
  <c r="E33" i="3"/>
  <c r="D33" i="3"/>
  <c r="C33" i="3"/>
  <c r="A33" i="3"/>
  <c r="B33" i="3" s="1"/>
  <c r="G32" i="3"/>
  <c r="F32" i="3"/>
  <c r="H32" i="3" s="1"/>
  <c r="E32" i="3"/>
  <c r="D32" i="3"/>
  <c r="I32" i="3" s="1"/>
  <c r="C32" i="3"/>
  <c r="B32" i="3"/>
  <c r="A32" i="3"/>
  <c r="I31" i="3"/>
  <c r="H31" i="3"/>
  <c r="G31" i="3"/>
  <c r="F31" i="3"/>
  <c r="E31" i="3"/>
  <c r="D31" i="3"/>
  <c r="C31" i="3"/>
  <c r="A31" i="3"/>
  <c r="B31" i="3" s="1"/>
  <c r="G30" i="3"/>
  <c r="F30" i="3"/>
  <c r="H30" i="3" s="1"/>
  <c r="E30" i="3"/>
  <c r="D30" i="3"/>
  <c r="I30" i="3" s="1"/>
  <c r="C30" i="3"/>
  <c r="B30" i="3"/>
  <c r="A30" i="3"/>
  <c r="G29" i="3"/>
  <c r="H29" i="3" s="1"/>
  <c r="F29" i="3"/>
  <c r="E29" i="3"/>
  <c r="I29" i="3" s="1"/>
  <c r="D29" i="3"/>
  <c r="C29" i="3"/>
  <c r="A29" i="3"/>
  <c r="B29" i="3" s="1"/>
  <c r="G28" i="3"/>
  <c r="F28" i="3"/>
  <c r="H28" i="3" s="1"/>
  <c r="E28" i="3"/>
  <c r="D28" i="3"/>
  <c r="I28" i="3" s="1"/>
  <c r="C28" i="3"/>
  <c r="A28" i="3"/>
  <c r="B28" i="3" s="1"/>
  <c r="G27" i="3"/>
  <c r="H27" i="3" s="1"/>
  <c r="F27" i="3"/>
  <c r="E27" i="3"/>
  <c r="D27" i="3"/>
  <c r="I27" i="3" s="1"/>
  <c r="C27" i="3"/>
  <c r="A27" i="3"/>
  <c r="B27" i="3" s="1"/>
  <c r="G26" i="3"/>
  <c r="F26" i="3"/>
  <c r="H26" i="3" s="1"/>
  <c r="E26" i="3"/>
  <c r="D26" i="3"/>
  <c r="C26" i="3"/>
  <c r="B26" i="3"/>
  <c r="A26" i="3"/>
  <c r="G25" i="3"/>
  <c r="F25" i="3"/>
  <c r="H25" i="3" s="1"/>
  <c r="E25" i="3"/>
  <c r="D25" i="3"/>
  <c r="I25" i="3" s="1"/>
  <c r="C25" i="3"/>
  <c r="A25" i="3"/>
  <c r="B25" i="3" s="1"/>
  <c r="H24" i="3"/>
  <c r="G24" i="3"/>
  <c r="F24" i="3"/>
  <c r="E24" i="3"/>
  <c r="D24" i="3"/>
  <c r="I24" i="3" s="1"/>
  <c r="C24" i="3"/>
  <c r="B24" i="3"/>
  <c r="A24" i="3"/>
  <c r="G23" i="3"/>
  <c r="F23" i="3"/>
  <c r="H23" i="3" s="1"/>
  <c r="E23" i="3"/>
  <c r="D23" i="3"/>
  <c r="I23" i="3" s="1"/>
  <c r="C23" i="3"/>
  <c r="A23" i="3"/>
  <c r="B23" i="3" s="1"/>
  <c r="G22" i="3"/>
  <c r="F22" i="3"/>
  <c r="H22" i="3" s="1"/>
  <c r="E22" i="3"/>
  <c r="D22" i="3"/>
  <c r="I22" i="3" s="1"/>
  <c r="C22" i="3"/>
  <c r="A22" i="3"/>
  <c r="B22" i="3" s="1"/>
  <c r="G21" i="3"/>
  <c r="F21" i="3"/>
  <c r="H21" i="3" s="1"/>
  <c r="E21" i="3"/>
  <c r="I21" i="3" s="1"/>
  <c r="D21" i="3"/>
  <c r="C21" i="3"/>
  <c r="C13" i="5" s="1"/>
  <c r="B21" i="3"/>
  <c r="A21" i="3"/>
  <c r="G20" i="3"/>
  <c r="F20" i="3"/>
  <c r="H20" i="3" s="1"/>
  <c r="E20" i="3"/>
  <c r="D20" i="3"/>
  <c r="I20" i="3" s="1"/>
  <c r="C20" i="3"/>
  <c r="A20" i="3"/>
  <c r="B20" i="3" s="1"/>
  <c r="G19" i="3"/>
  <c r="H19" i="3" s="1"/>
  <c r="F19" i="3"/>
  <c r="E19" i="3"/>
  <c r="D19" i="3"/>
  <c r="C19" i="3"/>
  <c r="A19" i="3"/>
  <c r="B19" i="3" s="1"/>
  <c r="G18" i="3"/>
  <c r="F18" i="3"/>
  <c r="H18" i="3" s="1"/>
  <c r="E18" i="3"/>
  <c r="D18" i="3"/>
  <c r="I18" i="3" s="1"/>
  <c r="C18" i="3"/>
  <c r="A18" i="3"/>
  <c r="B18" i="3" s="1"/>
  <c r="G17" i="3"/>
  <c r="I17" i="3" s="1"/>
  <c r="F17" i="3"/>
  <c r="H17" i="3" s="1"/>
  <c r="E17" i="3"/>
  <c r="D17" i="3"/>
  <c r="C17" i="3"/>
  <c r="A17" i="3"/>
  <c r="B17" i="3" s="1"/>
  <c r="G16" i="3"/>
  <c r="F16" i="3"/>
  <c r="H16" i="3" s="1"/>
  <c r="E16" i="3"/>
  <c r="D16" i="3"/>
  <c r="I16" i="3" s="1"/>
  <c r="C16" i="3"/>
  <c r="B16" i="3"/>
  <c r="A16" i="3"/>
  <c r="I15" i="3"/>
  <c r="H15" i="3"/>
  <c r="G15" i="3"/>
  <c r="F15" i="3"/>
  <c r="E15" i="3"/>
  <c r="D15" i="3"/>
  <c r="C15" i="3"/>
  <c r="A15" i="3"/>
  <c r="B15" i="3" s="1"/>
  <c r="G14" i="3"/>
  <c r="F14" i="3"/>
  <c r="H14" i="3" s="1"/>
  <c r="E14" i="3"/>
  <c r="D14" i="3"/>
  <c r="I14" i="3" s="1"/>
  <c r="C14" i="3"/>
  <c r="B14" i="3"/>
  <c r="A14" i="3"/>
  <c r="G13" i="3"/>
  <c r="H13" i="3" s="1"/>
  <c r="F13" i="3"/>
  <c r="E13" i="3"/>
  <c r="I13" i="3" s="1"/>
  <c r="D13" i="3"/>
  <c r="C13" i="3"/>
  <c r="A13" i="3"/>
  <c r="B13" i="3" s="1"/>
  <c r="G12" i="3"/>
  <c r="F12" i="3"/>
  <c r="H12" i="3" s="1"/>
  <c r="E12" i="3"/>
  <c r="D12" i="3"/>
  <c r="I12" i="3" s="1"/>
  <c r="C12" i="3"/>
  <c r="A12" i="3"/>
  <c r="B12" i="3" s="1"/>
  <c r="G11" i="3"/>
  <c r="H11" i="3" s="1"/>
  <c r="F11" i="3"/>
  <c r="E11" i="3"/>
  <c r="D11" i="3"/>
  <c r="I11" i="3" s="1"/>
  <c r="C11" i="3"/>
  <c r="A11" i="3"/>
  <c r="B11" i="3" s="1"/>
  <c r="G10" i="3"/>
  <c r="F10" i="3"/>
  <c r="H10" i="3" s="1"/>
  <c r="E10" i="3"/>
  <c r="D10" i="3"/>
  <c r="C10" i="3"/>
  <c r="B10" i="3"/>
  <c r="A10" i="3"/>
  <c r="G9" i="3"/>
  <c r="F9" i="3"/>
  <c r="H9" i="3" s="1"/>
  <c r="E9" i="3"/>
  <c r="D9" i="3"/>
  <c r="I9" i="3" s="1"/>
  <c r="C9" i="3"/>
  <c r="A9" i="3"/>
  <c r="B9" i="3" s="1"/>
  <c r="H8" i="3"/>
  <c r="G8" i="3"/>
  <c r="F8" i="3"/>
  <c r="E8" i="3"/>
  <c r="D8" i="3"/>
  <c r="I8" i="3" s="1"/>
  <c r="C8" i="3"/>
  <c r="B8" i="3"/>
  <c r="A8" i="3"/>
  <c r="G7" i="3"/>
  <c r="F7" i="3"/>
  <c r="H7" i="3" s="1"/>
  <c r="E7" i="3"/>
  <c r="D7" i="3"/>
  <c r="C7" i="3"/>
  <c r="B7" i="3"/>
  <c r="A7" i="3"/>
  <c r="L6" i="3"/>
  <c r="G6" i="3"/>
  <c r="F6" i="3"/>
  <c r="H6" i="3" s="1"/>
  <c r="E6" i="3"/>
  <c r="D6" i="3"/>
  <c r="I6" i="3" s="1"/>
  <c r="C6" i="3"/>
  <c r="A6" i="3"/>
  <c r="B6" i="3" s="1"/>
  <c r="L5" i="3"/>
  <c r="G5" i="3"/>
  <c r="F5" i="3"/>
  <c r="H5" i="3" s="1"/>
  <c r="E5" i="3"/>
  <c r="D5" i="3"/>
  <c r="C5" i="3"/>
  <c r="B5" i="3"/>
  <c r="A5" i="3"/>
  <c r="L4" i="3"/>
  <c r="G4" i="3"/>
  <c r="F4" i="3"/>
  <c r="L7" i="3" s="1"/>
  <c r="E4" i="3"/>
  <c r="D4" i="3"/>
  <c r="C4" i="3"/>
  <c r="B4" i="3"/>
  <c r="A4" i="3"/>
  <c r="I10" i="6" l="1"/>
  <c r="E13" i="5"/>
  <c r="I7" i="3"/>
  <c r="C11" i="5"/>
  <c r="E7" i="4"/>
  <c r="B29" i="4"/>
  <c r="G23" i="4"/>
  <c r="C9" i="5"/>
  <c r="E9" i="5" s="1"/>
  <c r="C12" i="5"/>
  <c r="K7" i="4"/>
  <c r="I5" i="3"/>
  <c r="I26" i="3"/>
  <c r="I42" i="3"/>
  <c r="I19" i="3"/>
  <c r="C14" i="5"/>
  <c r="E14" i="5" s="1"/>
  <c r="G22" i="4"/>
  <c r="C8" i="5"/>
  <c r="H74" i="3"/>
  <c r="I15" i="6" s="1"/>
  <c r="C7" i="5"/>
  <c r="C15" i="5"/>
  <c r="I10" i="3"/>
  <c r="I58" i="3"/>
  <c r="I14" i="6"/>
  <c r="C16" i="5"/>
  <c r="I4" i="3"/>
  <c r="H4" i="3"/>
  <c r="C17" i="5"/>
  <c r="E17" i="5" s="1"/>
  <c r="C10" i="5"/>
  <c r="B25" i="4" l="1"/>
  <c r="C19" i="6"/>
  <c r="B31" i="4"/>
  <c r="B28" i="4"/>
  <c r="B7" i="4"/>
  <c r="H7" i="4" s="1"/>
  <c r="B27" i="4"/>
  <c r="C18" i="5"/>
  <c r="H8" i="5" s="1"/>
  <c r="E11" i="5"/>
  <c r="B22" i="4"/>
  <c r="B23" i="4"/>
  <c r="I9" i="6"/>
  <c r="K22" i="4"/>
  <c r="E10" i="5"/>
  <c r="E16" i="5"/>
  <c r="I8" i="6"/>
  <c r="K21" i="4"/>
  <c r="B32" i="4"/>
  <c r="C16" i="6"/>
  <c r="B21" i="4"/>
  <c r="B26" i="4"/>
  <c r="E8" i="5"/>
  <c r="E12" i="5"/>
  <c r="B24" i="4"/>
  <c r="E15" i="5"/>
  <c r="B30" i="4"/>
  <c r="G21" i="4"/>
  <c r="E18" i="5" l="1"/>
  <c r="H6" i="5" s="1"/>
  <c r="C21" i="5" s="1"/>
  <c r="H7" i="5"/>
  <c r="C13" i="6"/>
  <c r="C22" i="6"/>
  <c r="C22" i="5" l="1"/>
  <c r="C23" i="5" s="1"/>
  <c r="H11" i="5"/>
  <c r="C10" i="6" s="1"/>
  <c r="H10" i="5"/>
  <c r="C7" i="6" s="1"/>
</calcChain>
</file>

<file path=xl/sharedStrings.xml><?xml version="1.0" encoding="utf-8"?>
<sst xmlns="http://schemas.openxmlformats.org/spreadsheetml/2006/main" count="452" uniqueCount="176">
  <si>
    <t>Prueba de Certificación - Excel con IA</t>
  </si>
  <si>
    <t>Proyecto aplicado: análisis de ventas y proyección del próximo trimestre</t>
  </si>
  <si>
    <t>Estudiante</t>
  </si>
  <si>
    <t>Problema elegido</t>
  </si>
  <si>
    <t>Identificar la categoría líder y proyectar el mes con mayores ventas del próximo trimestre.</t>
  </si>
  <si>
    <t>Pregunta clave</t>
  </si>
  <si>
    <t>¿En qué mes del próximo trimestre se proyectan mayores ventas y qué categoría lidera el acumulado?</t>
  </si>
  <si>
    <t>Herramientas usadas</t>
  </si>
  <si>
    <t>Excel (tablas, fórmulas, gráficos y validaciones) + IA complementaria para estructurar análisis y guion.</t>
  </si>
  <si>
    <t>Datos originales (antes de limpieza)</t>
  </si>
  <si>
    <t>Esta hoja contiene variaciones intencionales de mayúsculas, espacios y formato de texto para demostrar la limpieza en Excel.</t>
  </si>
  <si>
    <t>Fecha</t>
  </si>
  <si>
    <t>Mes</t>
  </si>
  <si>
    <t>Region_raw</t>
  </si>
  <si>
    <t>Categoria_raw</t>
  </si>
  <si>
    <t>Unidades_raw</t>
  </si>
  <si>
    <t>Precio_Unitario</t>
  </si>
  <si>
    <t>Enero 2024</t>
  </si>
  <si>
    <t>NORTE</t>
  </si>
  <si>
    <t>TECNOLOGIA</t>
  </si>
  <si>
    <t xml:space="preserve"> 17 </t>
  </si>
  <si>
    <t>HOGAR</t>
  </si>
  <si>
    <t>21</t>
  </si>
  <si>
    <t xml:space="preserve"> norte</t>
  </si>
  <si>
    <t>OFICINA</t>
  </si>
  <si>
    <t>19</t>
  </si>
  <si>
    <t>SUR</t>
  </si>
  <si>
    <t xml:space="preserve"> Tecnologia </t>
  </si>
  <si>
    <t xml:space="preserve"> 14 </t>
  </si>
  <si>
    <t xml:space="preserve"> Hogar </t>
  </si>
  <si>
    <t>18</t>
  </si>
  <si>
    <t>sur</t>
  </si>
  <si>
    <t xml:space="preserve"> Oficina </t>
  </si>
  <si>
    <t>16</t>
  </si>
  <si>
    <t>Febrero 2024</t>
  </si>
  <si>
    <t>Norte</t>
  </si>
  <si>
    <t>Tecnologia</t>
  </si>
  <si>
    <t>Hogar</t>
  </si>
  <si>
    <t xml:space="preserve"> 24 </t>
  </si>
  <si>
    <t xml:space="preserve">Norte </t>
  </si>
  <si>
    <t>Oficina</t>
  </si>
  <si>
    <t xml:space="preserve"> 21 </t>
  </si>
  <si>
    <t>Sur</t>
  </si>
  <si>
    <t xml:space="preserve"> tecnologia </t>
  </si>
  <si>
    <t xml:space="preserve"> hogar </t>
  </si>
  <si>
    <t xml:space="preserve"> 20 </t>
  </si>
  <si>
    <t xml:space="preserve">Sur </t>
  </si>
  <si>
    <t xml:space="preserve"> oficina </t>
  </si>
  <si>
    <t xml:space="preserve"> 18 </t>
  </si>
  <si>
    <t>Marzo 2024</t>
  </si>
  <si>
    <t>tecnologia</t>
  </si>
  <si>
    <t xml:space="preserve"> 19 </t>
  </si>
  <si>
    <t>hogar</t>
  </si>
  <si>
    <t>24</t>
  </si>
  <si>
    <t xml:space="preserve"> norte </t>
  </si>
  <si>
    <t>oficina</t>
  </si>
  <si>
    <t>22</t>
  </si>
  <si>
    <t xml:space="preserve"> 16 </t>
  </si>
  <si>
    <t>20</t>
  </si>
  <si>
    <t xml:space="preserve"> sur </t>
  </si>
  <si>
    <t>Abril 2024</t>
  </si>
  <si>
    <t>23</t>
  </si>
  <si>
    <t xml:space="preserve"> 27 </t>
  </si>
  <si>
    <t xml:space="preserve"> 25 </t>
  </si>
  <si>
    <t xml:space="preserve"> 23 </t>
  </si>
  <si>
    <t>Mayo 2024</t>
  </si>
  <si>
    <t>28</t>
  </si>
  <si>
    <t>25</t>
  </si>
  <si>
    <t>Junio 2024</t>
  </si>
  <si>
    <t>27</t>
  </si>
  <si>
    <t xml:space="preserve"> 31 </t>
  </si>
  <si>
    <t xml:space="preserve"> 29 </t>
  </si>
  <si>
    <t xml:space="preserve"> 26 </t>
  </si>
  <si>
    <t>Julio 2024</t>
  </si>
  <si>
    <t>31</t>
  </si>
  <si>
    <t>29</t>
  </si>
  <si>
    <t xml:space="preserve"> 22 </t>
  </si>
  <si>
    <t>26</t>
  </si>
  <si>
    <t>Agosto 2024</t>
  </si>
  <si>
    <t>30</t>
  </si>
  <si>
    <t xml:space="preserve"> 35 </t>
  </si>
  <si>
    <t xml:space="preserve"> 33 </t>
  </si>
  <si>
    <t>Septiembre 2024</t>
  </si>
  <si>
    <t>35</t>
  </si>
  <si>
    <t>33</t>
  </si>
  <si>
    <t>Octubre 2024</t>
  </si>
  <si>
    <t>34</t>
  </si>
  <si>
    <t xml:space="preserve"> 38 </t>
  </si>
  <si>
    <t xml:space="preserve"> 36 </t>
  </si>
  <si>
    <t xml:space="preserve"> 32 </t>
  </si>
  <si>
    <t xml:space="preserve"> 30 </t>
  </si>
  <si>
    <t>Noviembre 2024</t>
  </si>
  <si>
    <t xml:space="preserve"> 34 </t>
  </si>
  <si>
    <t>39</t>
  </si>
  <si>
    <t>37</t>
  </si>
  <si>
    <t>32</t>
  </si>
  <si>
    <t>Diciembre 2024</t>
  </si>
  <si>
    <t>38</t>
  </si>
  <si>
    <t xml:space="preserve"> 42 </t>
  </si>
  <si>
    <t xml:space="preserve"> 40 </t>
  </si>
  <si>
    <t>Datos limpios y validados</t>
  </si>
  <si>
    <t>La limpieza se apoya en fórmulas para estandarizar texto, convertir cantidades y recalcular ventas.</t>
  </si>
  <si>
    <t>Año</t>
  </si>
  <si>
    <t>Region</t>
  </si>
  <si>
    <t>Categoria</t>
  </si>
  <si>
    <t>Unidades</t>
  </si>
  <si>
    <t>Ventas</t>
  </si>
  <si>
    <t>Estado</t>
  </si>
  <si>
    <t>Fórmulas de limpieza</t>
  </si>
  <si>
    <t>Dashboard interactivo</t>
  </si>
  <si>
    <t>Filtro Región</t>
  </si>
  <si>
    <t>Todas</t>
  </si>
  <si>
    <t>Filtro Categoría</t>
  </si>
  <si>
    <t>Ventas filtradas</t>
  </si>
  <si>
    <t>Unidades filtradas</t>
  </si>
  <si>
    <t>Ticket promedio</t>
  </si>
  <si>
    <t>Registros analizados</t>
  </si>
  <si>
    <t>Visualización 1: tendencia mensual de ventas según los filtros activos.</t>
  </si>
  <si>
    <t>Visualización 2: comparación acumulada por categoría. Este gráfico ignora el filtro de categoría para permitir comparación.</t>
  </si>
  <si>
    <t>Visualización 3: comparación acumulada por región. Este gráfico ignora el filtro de región para permitir comparación.</t>
  </si>
  <si>
    <t>Proyección del próximo trimestre</t>
  </si>
  <si>
    <t>Se utiliza un modelo simple basado en el promedio de crecimiento de los últimos 6 meses para estimar los siguientes 3 meses.</t>
  </si>
  <si>
    <t>Ventas reales</t>
  </si>
  <si>
    <t>Índice</t>
  </si>
  <si>
    <t>Variación mensual</t>
  </si>
  <si>
    <t>Promedio crecimiento últimos 6 meses</t>
  </si>
  <si>
    <t>Venta total 2024</t>
  </si>
  <si>
    <t>Promedio mensual 2024</t>
  </si>
  <si>
    <t>Mes con mayor proyección</t>
  </si>
  <si>
    <t>Valor proyectado máximo</t>
  </si>
  <si>
    <t>Mes proyectado</t>
  </si>
  <si>
    <t>Ventas proyectadas</t>
  </si>
  <si>
    <t>Enero 2025</t>
  </si>
  <si>
    <t>Febrero 2025</t>
  </si>
  <si>
    <t>Marzo 2025</t>
  </si>
  <si>
    <t>Interpretación de resultados</t>
  </si>
  <si>
    <t>¿En qué mes se proyectan mayores ventas del próximo trimestre y qué categoría lidera el acumulado?</t>
  </si>
  <si>
    <t>Mes con mayor venta proyectada</t>
  </si>
  <si>
    <t>Categoría líder acumulada</t>
  </si>
  <si>
    <t>Región líder acumulada</t>
  </si>
  <si>
    <t>Ventas totales 2024</t>
  </si>
  <si>
    <t>Hallazgo 1</t>
  </si>
  <si>
    <t>La tendencia mensual de ventas es creciente durante 2024, lo que favorece una proyección ascendente del siguiente trimestre.</t>
  </si>
  <si>
    <t>Hallazgo 2</t>
  </si>
  <si>
    <t>Tecnologia concentra el mayor aporte acumulado y Norte es la región con mejor desempeño total.</t>
  </si>
  <si>
    <t>Recomendación</t>
  </si>
  <si>
    <t>Planificar inventario y seguimiento comercial para el mes proyectado más fuerte, y priorizar campañas en la categoría líder.</t>
  </si>
  <si>
    <t>Documentación del proceso</t>
  </si>
  <si>
    <t>Problema y objetivo</t>
  </si>
  <si>
    <t>Problema</t>
  </si>
  <si>
    <t>Se requiere transformar una tabla sencilla de ventas en un dashboard que apoye decisiones y permita proyectar el siguiente trimestre.</t>
  </si>
  <si>
    <t>Objetivo</t>
  </si>
  <si>
    <t>Identificar el mes proyectado con mayores ventas y la categoría con mayor aporte acumulado.</t>
  </si>
  <si>
    <t>Limpieza y análisis</t>
  </si>
  <si>
    <t>Limpieza aplicada</t>
  </si>
  <si>
    <t>Estandarización de texto en Región y Categoría, conversión de Unidades a número y recálculo de Ventas.</t>
  </si>
  <si>
    <t>Análisis aplicado</t>
  </si>
  <si>
    <t>KPIs, tendencia mensual filtrable, comparación por categoría, comparación por región y proyección del próximo trimestre.</t>
  </si>
  <si>
    <t>Herramientas y fórmulas</t>
  </si>
  <si>
    <t>Excel</t>
  </si>
  <si>
    <t>Tablas, validaciones de lista, gráficos, SUMPRODUCT, SUMIF, INDEX+MATCH, AVERAGE, YEAR, IFERROR, TRIM y PROPER.</t>
  </si>
  <si>
    <t>IA complementaria</t>
  </si>
  <si>
    <t>Apoyo para definir la pregunta clave, proponer estructura del dashboard, redactar hallazgos y preparar el guion del video.</t>
  </si>
  <si>
    <t>Prompts usados con IA</t>
  </si>
  <si>
    <t>Prompt 1</t>
  </si>
  <si>
    <t>Propón una estructura sencilla de dashboard en Excel para analizar ventas mensuales y proyectar el siguiente trimestre.</t>
  </si>
  <si>
    <t>Prompt 2</t>
  </si>
  <si>
    <t>¿Qué fórmulas de Excel sirven para limpiar textos con espacios, convertir cantidades y resumir ventas por filtros?</t>
  </si>
  <si>
    <t>Prompt 3</t>
  </si>
  <si>
    <t>Ayúdame a redactar conclusiones cortas y un guion de video de 3 a 5 minutos para presentar el proyecto.</t>
  </si>
  <si>
    <t>Reflexión ética</t>
  </si>
  <si>
    <t>Uso responsable</t>
  </si>
  <si>
    <t>La IA se utilizó como apoyo para organizar ideas y mejorar la presentación, no para reemplazar la verificación de fórmulas ni la interpretación crítica.</t>
  </si>
  <si>
    <t>Límite importante</t>
  </si>
  <si>
    <t>La proyección es un modelo simple y no debe interpretarse como certeza absoluta; cualquier decisión real requiere validación adicional con datos históricos más amplios.</t>
  </si>
  <si>
    <t>SAMUEL ARDILA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</si>
</sst>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#,##0"/>
    <numFmt numFmtId="166" formatCode="0.0%"/>
  </numFmts>
  <fonts count="13" x14ac:knownFonts="1">
    <font>
      <sz val="11"/>
      <color theme="1"/>
      <name val="Calibri"/>
      <family val="2"/>
      <charset val="1"/>
    </font>
    <font>
      <b/>
      <sz val="20"/>
      <color rgb="FFFFFFFF"/>
      <name val="Cambria"/>
      <charset val="1"/>
    </font>
    <font>
      <i/>
      <sz val="13"/>
      <color rgb="FF1F2937"/>
      <name val="Cambria"/>
      <charset val="1"/>
    </font>
    <font>
      <b/>
      <sz val="11"/>
      <color rgb="FFFFFFFF"/>
      <name val="Cambria"/>
      <charset val="1"/>
    </font>
    <font>
      <sz val="11"/>
      <color rgb="FF1F2937"/>
      <name val="Cambria"/>
      <charset val="1"/>
    </font>
    <font>
      <i/>
      <sz val="11"/>
      <color rgb="FF1F2937"/>
      <name val="Cambria"/>
      <charset val="1"/>
    </font>
    <font>
      <b/>
      <sz val="16"/>
      <color rgb="FFFFFFFF"/>
      <name val="Cambria"/>
      <charset val="1"/>
    </font>
    <font>
      <i/>
      <sz val="10"/>
      <color rgb="FF1F2937"/>
      <name val="Cambria"/>
      <charset val="1"/>
    </font>
    <font>
      <b/>
      <sz val="11"/>
      <name val="Cambria"/>
      <charset val="1"/>
    </font>
    <font>
      <b/>
      <sz val="18"/>
      <color rgb="FFFFFFFF"/>
      <name val="Cambria"/>
      <charset val="1"/>
    </font>
    <font>
      <b/>
      <sz val="14"/>
      <color rgb="FF1F2937"/>
      <name val="Cambria"/>
      <charset val="1"/>
    </font>
    <font>
      <b/>
      <sz val="13"/>
      <color rgb="FF1F2937"/>
      <name val="Cambria"/>
      <charset val="1"/>
    </font>
    <font>
      <b/>
      <sz val="11"/>
      <color rgb="FF1F2937"/>
      <name val="Cambria"/>
      <charset val="1"/>
    </font>
  </fonts>
  <fills count="9">
    <fill>
      <patternFill patternType="none"/>
    </fill>
    <fill>
      <patternFill patternType="gray125"/>
    </fill>
    <fill>
      <patternFill patternType="solid">
        <fgColor rgb="FFC400A0"/>
        <bgColor rgb="FF800080"/>
      </patternFill>
    </fill>
    <fill>
      <patternFill patternType="solid">
        <fgColor rgb="FF12B5B0"/>
        <bgColor rgb="FF00CCFF"/>
      </patternFill>
    </fill>
    <fill>
      <patternFill patternType="solid">
        <fgColor rgb="FFF5F7FA"/>
        <bgColor rgb="FFF9F9F9"/>
      </patternFill>
    </fill>
    <fill>
      <patternFill patternType="solid">
        <fgColor rgb="FFF8E7F4"/>
        <bgColor rgb="FFF5F7FA"/>
      </patternFill>
    </fill>
    <fill>
      <patternFill patternType="solid">
        <fgColor rgb="FF1F2937"/>
        <bgColor rgb="FF333300"/>
      </patternFill>
    </fill>
    <fill>
      <patternFill patternType="solid">
        <fgColor rgb="FFE7F8F7"/>
        <bgColor rgb="FFF5F7FA"/>
      </patternFill>
    </fill>
    <fill>
      <patternFill patternType="solid">
        <fgColor rgb="FFFFFFFF"/>
        <bgColor rgb="FFF9F9F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3" borderId="1" xfId="0" applyFont="1" applyFill="1" applyBorder="1" applyAlignment="1">
      <alignment horizontal="left"/>
    </xf>
    <xf numFmtId="0" fontId="0" fillId="4" borderId="1" xfId="0" applyFill="1" applyBorder="1" applyAlignment="1">
      <alignment vertical="center" wrapText="1"/>
    </xf>
    <xf numFmtId="165" fontId="11" fillId="8" borderId="1" xfId="0" applyNumberFormat="1" applyFont="1" applyFill="1" applyBorder="1" applyAlignment="1">
      <alignment horizontal="center"/>
    </xf>
    <xf numFmtId="49" fontId="11" fillId="8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165" fontId="0" fillId="4" borderId="1" xfId="0" applyNumberFormat="1" applyFill="1" applyBorder="1" applyAlignment="1">
      <alignment vertical="center" wrapText="1"/>
    </xf>
    <xf numFmtId="0" fontId="3" fillId="3" borderId="1" xfId="0" applyFont="1" applyFill="1" applyBorder="1"/>
    <xf numFmtId="0" fontId="0" fillId="8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5" fontId="10" fillId="8" borderId="1" xfId="0" applyNumberFormat="1" applyFont="1" applyFill="1" applyBorder="1" applyAlignment="1">
      <alignment horizontal="center"/>
    </xf>
    <xf numFmtId="3" fontId="10" fillId="8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right"/>
    </xf>
    <xf numFmtId="0" fontId="0" fillId="0" borderId="1" xfId="0" applyBorder="1"/>
    <xf numFmtId="165" fontId="0" fillId="0" borderId="1" xfId="0" applyNumberFormat="1" applyBorder="1"/>
    <xf numFmtId="0" fontId="3" fillId="3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2" fillId="7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400A0"/>
      <rgbColor rgb="FF059669"/>
      <rgbColor rgb="FFB3C992"/>
      <rgbColor rgb="FF878787"/>
      <rgbColor rgb="FF9999FF"/>
      <rgbColor rgb="FFC0504D"/>
      <rgbColor rgb="FFF9F9F9"/>
      <rgbColor rgb="FFE7F8F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D9D9D9"/>
      <rgbColor rgb="FFF8E7F4"/>
      <rgbColor rgb="FF99CCFF"/>
      <rgbColor rgb="FFFF99CC"/>
      <rgbColor rgb="FFCC99FF"/>
      <rgbColor rgb="FFFFCC99"/>
      <rgbColor rgb="FF3366FF"/>
      <rgbColor rgb="FF12B5B0"/>
      <rgbColor rgb="FF98B855"/>
      <rgbColor rgb="FFFFCC00"/>
      <rgbColor rgb="FFFF9900"/>
      <rgbColor rgb="FFEA580C"/>
      <rgbColor rgb="FF4F81BD"/>
      <rgbColor rgb="FF87A44B"/>
      <rgbColor rgb="FF003366"/>
      <rgbColor rgb="FF339966"/>
      <rgbColor rgb="FF003300"/>
      <rgbColor rgb="FF333300"/>
      <rgbColor rgb="FF993300"/>
      <rgbColor rgb="FF7C3AED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CO" sz="1800" b="1" u="none" strike="noStrike">
                <a:solidFill>
                  <a:srgbClr val="000000"/>
                </a:solidFill>
                <a:uFillTx/>
                <a:latin typeface="Calibri"/>
              </a:rPr>
              <a:t>Tendencia mensual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Dashboard!$B$20</c:f>
              <c:strCache>
                <c:ptCount val="1"/>
                <c:pt idx="0">
                  <c:v>Ventas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Dashboard!$A$21:$A$32</c:f>
              <c:strCache>
                <c:ptCount val="12"/>
                <c:pt idx="0">
                  <c:v>Enero 2024</c:v>
                </c:pt>
                <c:pt idx="1">
                  <c:v>Febrero 2024</c:v>
                </c:pt>
                <c:pt idx="2">
                  <c:v>Marzo 2024</c:v>
                </c:pt>
                <c:pt idx="3">
                  <c:v>Abril 2024</c:v>
                </c:pt>
                <c:pt idx="4">
                  <c:v>Mayo 2024</c:v>
                </c:pt>
                <c:pt idx="5">
                  <c:v>Junio 2024</c:v>
                </c:pt>
                <c:pt idx="6">
                  <c:v>Julio 2024</c:v>
                </c:pt>
                <c:pt idx="7">
                  <c:v>Agosto 2024</c:v>
                </c:pt>
                <c:pt idx="8">
                  <c:v>Septiembre 2024</c:v>
                </c:pt>
                <c:pt idx="9">
                  <c:v>Octubre 2024</c:v>
                </c:pt>
                <c:pt idx="10">
                  <c:v>Noviembre 2024</c:v>
                </c:pt>
                <c:pt idx="11">
                  <c:v>Diciembre 2024</c:v>
                </c:pt>
              </c:strCache>
            </c:strRef>
          </c:cat>
          <c:val>
            <c:numRef>
              <c:f>Dashboard!$B$21:$B$32</c:f>
              <c:numCache>
                <c:formatCode>\$#,##0</c:formatCode>
                <c:ptCount val="12"/>
                <c:pt idx="0">
                  <c:v>20900</c:v>
                </c:pt>
                <c:pt idx="1">
                  <c:v>23100</c:v>
                </c:pt>
                <c:pt idx="2">
                  <c:v>24200</c:v>
                </c:pt>
                <c:pt idx="3">
                  <c:v>27500</c:v>
                </c:pt>
                <c:pt idx="4">
                  <c:v>27500</c:v>
                </c:pt>
                <c:pt idx="5">
                  <c:v>31900</c:v>
                </c:pt>
                <c:pt idx="6">
                  <c:v>31900</c:v>
                </c:pt>
                <c:pt idx="7">
                  <c:v>36300</c:v>
                </c:pt>
                <c:pt idx="8">
                  <c:v>36300</c:v>
                </c:pt>
                <c:pt idx="9">
                  <c:v>39600</c:v>
                </c:pt>
                <c:pt idx="10">
                  <c:v>40700</c:v>
                </c:pt>
                <c:pt idx="11">
                  <c:v>44000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74-44F4-9E6C-5720A6DBF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4895951"/>
        <c:axId val="29464160"/>
      </c:lineChart>
      <c:catAx>
        <c:axId val="148959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O"/>
          </a:p>
        </c:txPr>
        <c:crossAx val="29464160"/>
        <c:crosses val="autoZero"/>
        <c:auto val="1"/>
        <c:lblAlgn val="ctr"/>
        <c:lblOffset val="100"/>
        <c:noMultiLvlLbl val="0"/>
      </c:catAx>
      <c:valAx>
        <c:axId val="2946416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Ventas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O"/>
          </a:p>
        </c:txPr>
        <c:crossAx val="148959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CO" sz="1800" b="1" u="none" strike="noStrike">
                <a:solidFill>
                  <a:srgbClr val="000000"/>
                </a:solidFill>
                <a:uFillTx/>
                <a:latin typeface="Calibri"/>
              </a:rPr>
              <a:t>Ventas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Dashboard!$G$20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Dashboard!$F$21:$F$23</c:f>
              <c:strCache>
                <c:ptCount val="3"/>
                <c:pt idx="0">
                  <c:v>Tecnologia</c:v>
                </c:pt>
                <c:pt idx="1">
                  <c:v>Hogar</c:v>
                </c:pt>
                <c:pt idx="2">
                  <c:v>Oficina</c:v>
                </c:pt>
              </c:strCache>
            </c:strRef>
          </c:cat>
          <c:val>
            <c:numRef>
              <c:f>Dashboard!$G$21:$G$23</c:f>
              <c:numCache>
                <c:formatCode>\$#,##0</c:formatCode>
                <c:ptCount val="3"/>
                <c:pt idx="0">
                  <c:v>837200</c:v>
                </c:pt>
                <c:pt idx="1">
                  <c:v>562500</c:v>
                </c:pt>
                <c:pt idx="2">
                  <c:v>383900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B-4E4A-BF6C-FEA2BA379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53221"/>
        <c:axId val="79033072"/>
      </c:barChart>
      <c:catAx>
        <c:axId val="6415322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Ventas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O"/>
          </a:p>
        </c:txPr>
        <c:crossAx val="79033072"/>
        <c:crosses val="autoZero"/>
        <c:auto val="1"/>
        <c:lblAlgn val="ctr"/>
        <c:lblOffset val="100"/>
        <c:noMultiLvlLbl val="0"/>
      </c:catAx>
      <c:valAx>
        <c:axId val="7903307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Categoría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O"/>
          </a:p>
        </c:txPr>
        <c:crossAx val="641532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CO" sz="1800" b="1" u="none" strike="noStrike">
                <a:solidFill>
                  <a:srgbClr val="000000"/>
                </a:solidFill>
                <a:uFillTx/>
                <a:latin typeface="Calibri"/>
              </a:rPr>
              <a:t>Ventas por región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Dashboard!$K$20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Dashboard!$J$21:$J$22</c:f>
              <c:strCache>
                <c:ptCount val="2"/>
                <c:pt idx="0">
                  <c:v>Norte</c:v>
                </c:pt>
                <c:pt idx="1">
                  <c:v>Sur</c:v>
                </c:pt>
              </c:strCache>
            </c:strRef>
          </c:cat>
          <c:val>
            <c:numRef>
              <c:f>Dashboard!$K$21:$K$22</c:f>
              <c:numCache>
                <c:formatCode>\$#,##0</c:formatCode>
                <c:ptCount val="2"/>
                <c:pt idx="0">
                  <c:v>383900</c:v>
                </c:pt>
                <c:pt idx="1">
                  <c:v>319000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7-49A9-BD29-D7126AC2E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33261"/>
        <c:axId val="65684402"/>
      </c:barChart>
      <c:catAx>
        <c:axId val="142332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Región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O"/>
          </a:p>
        </c:txPr>
        <c:crossAx val="65684402"/>
        <c:crosses val="autoZero"/>
        <c:auto val="1"/>
        <c:lblAlgn val="ctr"/>
        <c:lblOffset val="100"/>
        <c:noMultiLvlLbl val="0"/>
      </c:catAx>
      <c:valAx>
        <c:axId val="656844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Ventas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O"/>
          </a:p>
        </c:txPr>
        <c:crossAx val="142332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CO" sz="1800" b="1" u="none" strike="noStrike">
                <a:solidFill>
                  <a:srgbClr val="000000"/>
                </a:solidFill>
                <a:uFillTx/>
                <a:latin typeface="Calibri"/>
              </a:rPr>
              <a:t>Ventas reales vs. proyección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Pronostico!$C$6</c:f>
              <c:strCache>
                <c:ptCount val="1"/>
                <c:pt idx="0">
                  <c:v>Ventas reales</c:v>
                </c:pt>
              </c:strCache>
            </c:strRef>
          </c:tx>
          <c:spPr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Pronostico!$B$7:$B$18</c:f>
              <c:strCache>
                <c:ptCount val="12"/>
                <c:pt idx="0">
                  <c:v>Enero 2024</c:v>
                </c:pt>
                <c:pt idx="1">
                  <c:v>Febrero 2024</c:v>
                </c:pt>
                <c:pt idx="2">
                  <c:v>Marzo 2024</c:v>
                </c:pt>
                <c:pt idx="3">
                  <c:v>Abril 2024</c:v>
                </c:pt>
                <c:pt idx="4">
                  <c:v>Mayo 2024</c:v>
                </c:pt>
                <c:pt idx="5">
                  <c:v>Junio 2024</c:v>
                </c:pt>
                <c:pt idx="6">
                  <c:v>Julio 2024</c:v>
                </c:pt>
                <c:pt idx="7">
                  <c:v>Agosto 2024</c:v>
                </c:pt>
                <c:pt idx="8">
                  <c:v>Septiembre 2024</c:v>
                </c:pt>
                <c:pt idx="9">
                  <c:v>Octubre 2024</c:v>
                </c:pt>
                <c:pt idx="10">
                  <c:v>Noviembre 2024</c:v>
                </c:pt>
                <c:pt idx="11">
                  <c:v>Diciembre 2024</c:v>
                </c:pt>
              </c:strCache>
            </c:strRef>
          </c:cat>
          <c:val>
            <c:numRef>
              <c:f>Pronostico!$C$7:$C$18</c:f>
              <c:numCache>
                <c:formatCode>\$#,##0</c:formatCode>
                <c:ptCount val="12"/>
                <c:pt idx="0">
                  <c:v>177600</c:v>
                </c:pt>
                <c:pt idx="1">
                  <c:v>199900</c:v>
                </c:pt>
                <c:pt idx="2">
                  <c:v>201000</c:v>
                </c:pt>
                <c:pt idx="3">
                  <c:v>234800</c:v>
                </c:pt>
                <c:pt idx="4">
                  <c:v>236300</c:v>
                </c:pt>
                <c:pt idx="5">
                  <c:v>271200</c:v>
                </c:pt>
                <c:pt idx="6">
                  <c:v>271200</c:v>
                </c:pt>
                <c:pt idx="7">
                  <c:v>305000</c:v>
                </c:pt>
                <c:pt idx="8">
                  <c:v>310200</c:v>
                </c:pt>
                <c:pt idx="9">
                  <c:v>341400</c:v>
                </c:pt>
                <c:pt idx="10">
                  <c:v>345100</c:v>
                </c:pt>
                <c:pt idx="11">
                  <c:v>377800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DE-48A8-A991-345CA11A0657}"/>
            </c:ext>
          </c:extLst>
        </c:ser>
        <c:ser>
          <c:idx val="1"/>
          <c:order val="1"/>
          <c:tx>
            <c:strRef>
              <c:f>Pronostico!$C$20</c:f>
              <c:strCache>
                <c:ptCount val="1"/>
                <c:pt idx="0">
                  <c:v>Ventas proyectadas</c:v>
                </c:pt>
              </c:strCache>
            </c:strRef>
          </c:tx>
          <c:spPr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Pronostico!$B$7:$B$18</c:f>
              <c:strCache>
                <c:ptCount val="12"/>
                <c:pt idx="0">
                  <c:v>Enero 2024</c:v>
                </c:pt>
                <c:pt idx="1">
                  <c:v>Febrero 2024</c:v>
                </c:pt>
                <c:pt idx="2">
                  <c:v>Marzo 2024</c:v>
                </c:pt>
                <c:pt idx="3">
                  <c:v>Abril 2024</c:v>
                </c:pt>
                <c:pt idx="4">
                  <c:v>Mayo 2024</c:v>
                </c:pt>
                <c:pt idx="5">
                  <c:v>Junio 2024</c:v>
                </c:pt>
                <c:pt idx="6">
                  <c:v>Julio 2024</c:v>
                </c:pt>
                <c:pt idx="7">
                  <c:v>Agosto 2024</c:v>
                </c:pt>
                <c:pt idx="8">
                  <c:v>Septiembre 2024</c:v>
                </c:pt>
                <c:pt idx="9">
                  <c:v>Octubre 2024</c:v>
                </c:pt>
                <c:pt idx="10">
                  <c:v>Noviembre 2024</c:v>
                </c:pt>
                <c:pt idx="11">
                  <c:v>Diciembre 2024</c:v>
                </c:pt>
              </c:strCache>
            </c:strRef>
          </c:cat>
          <c:val>
            <c:numRef>
              <c:f>Pronostico!$C$21:$C$23</c:f>
              <c:numCache>
                <c:formatCode>\$#,##0</c:formatCode>
                <c:ptCount val="3"/>
                <c:pt idx="0">
                  <c:v>399703.18105037196</c:v>
                </c:pt>
                <c:pt idx="1">
                  <c:v>422876.2121275448</c:v>
                </c:pt>
                <c:pt idx="2">
                  <c:v>447392.71354661603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2DE-48A8-A991-345CA11A0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3808779"/>
        <c:axId val="46898253"/>
      </c:lineChart>
      <c:catAx>
        <c:axId val="638087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O"/>
          </a:p>
        </c:txPr>
        <c:crossAx val="46898253"/>
        <c:crosses val="autoZero"/>
        <c:auto val="1"/>
        <c:lblAlgn val="ctr"/>
        <c:lblOffset val="100"/>
        <c:noMultiLvlLbl val="0"/>
      </c:catAx>
      <c:valAx>
        <c:axId val="468982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Ventas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CO"/>
          </a:p>
        </c:txPr>
        <c:crossAx val="638087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4</xdr:col>
      <xdr:colOff>628560</xdr:colOff>
      <xdr:row>19</xdr:row>
      <xdr:rowOff>33480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0</xdr:rowOff>
    </xdr:from>
    <xdr:to>
      <xdr:col>7</xdr:col>
      <xdr:colOff>765000</xdr:colOff>
      <xdr:row>19</xdr:row>
      <xdr:rowOff>33480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11</xdr:col>
      <xdr:colOff>117360</xdr:colOff>
      <xdr:row>19</xdr:row>
      <xdr:rowOff>33480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698500</xdr:colOff>
      <xdr:row>11</xdr:row>
      <xdr:rowOff>203200</xdr:rowOff>
    </xdr:from>
    <xdr:to>
      <xdr:col>9</xdr:col>
      <xdr:colOff>336550</xdr:colOff>
      <xdr:row>21</xdr:row>
      <xdr:rowOff>254000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DatosRaw" displayName="tblDatosRaw" ref="A3:F75" totalsRowShown="0">
  <autoFilter ref="A3:F75" xr:uid="{00000000-0009-0000-0100-000002000000}"/>
  <tableColumns count="6">
    <tableColumn id="1" xr3:uid="{00000000-0010-0000-0000-000001000000}" name="Fecha"/>
    <tableColumn id="2" xr3:uid="{00000000-0010-0000-0000-000002000000}" name="Mes"/>
    <tableColumn id="3" xr3:uid="{00000000-0010-0000-0000-000003000000}" name="Region_raw"/>
    <tableColumn id="4" xr3:uid="{00000000-0010-0000-0000-000004000000}" name="Categoria_raw"/>
    <tableColumn id="5" xr3:uid="{00000000-0010-0000-0000-000005000000}" name="Unidades_raw"/>
    <tableColumn id="6" xr3:uid="{00000000-0010-0000-0000-000006000000}" name="Precio_Unitari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DatosLimpios" displayName="tblDatosLimpios" ref="A3:I75" totalsRowShown="0">
  <autoFilter ref="A3:I75" xr:uid="{00000000-0009-0000-0100-000001000000}"/>
  <tableColumns count="9">
    <tableColumn id="1" xr3:uid="{00000000-0010-0000-0100-000001000000}" name="Fecha"/>
    <tableColumn id="2" xr3:uid="{00000000-0010-0000-0100-000002000000}" name="Año"/>
    <tableColumn id="3" xr3:uid="{00000000-0010-0000-0100-000003000000}" name="Mes"/>
    <tableColumn id="4" xr3:uid="{00000000-0010-0000-0100-000004000000}" name="Region"/>
    <tableColumn id="5" xr3:uid="{00000000-0010-0000-0100-000005000000}" name="Categoria"/>
    <tableColumn id="6" xr3:uid="{00000000-0010-0000-0100-000006000000}" name="Unidades"/>
    <tableColumn id="7" xr3:uid="{00000000-0010-0000-0100-000007000000}" name="Precio_Unitario"/>
    <tableColumn id="8" xr3:uid="{00000000-0010-0000-0100-000008000000}" name="Ventas"/>
    <tableColumn id="9" xr3:uid="{00000000-0010-0000-0100-000009000000}" name="Estad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400A0"/>
  </sheetPr>
  <dimension ref="B1:H23"/>
  <sheetViews>
    <sheetView showGridLines="0" topLeftCell="A2" zoomScale="70" zoomScaleNormal="70" workbookViewId="0">
      <selection activeCell="B15" sqref="B15:H15"/>
    </sheetView>
  </sheetViews>
  <sheetFormatPr baseColWidth="10" defaultColWidth="8.6328125" defaultRowHeight="15" customHeight="1" x14ac:dyDescent="0.35"/>
  <cols>
    <col min="1" max="1" width="4" customWidth="1"/>
    <col min="2" max="8" width="18" customWidth="1"/>
  </cols>
  <sheetData>
    <row r="1" spans="2:8" ht="24" customHeight="1" x14ac:dyDescent="0.35"/>
    <row r="2" spans="2:8" ht="24" customHeight="1" x14ac:dyDescent="0.35">
      <c r="B2" s="11" t="s">
        <v>0</v>
      </c>
      <c r="C2" s="11"/>
      <c r="D2" s="11"/>
      <c r="E2" s="11"/>
      <c r="F2" s="11"/>
      <c r="G2" s="11"/>
      <c r="H2" s="11"/>
    </row>
    <row r="3" spans="2:8" ht="24" customHeight="1" x14ac:dyDescent="0.35">
      <c r="B3" s="11"/>
      <c r="C3" s="11"/>
      <c r="D3" s="11"/>
      <c r="E3" s="11"/>
      <c r="F3" s="11"/>
      <c r="G3" s="11"/>
      <c r="H3" s="11"/>
    </row>
    <row r="4" spans="2:8" ht="24" customHeight="1" x14ac:dyDescent="0.35"/>
    <row r="5" spans="2:8" ht="24" customHeight="1" x14ac:dyDescent="0.35">
      <c r="B5" s="12" t="s">
        <v>1</v>
      </c>
    </row>
    <row r="6" spans="2:8" ht="24" customHeight="1" x14ac:dyDescent="0.35"/>
    <row r="7" spans="2:8" ht="24" customHeight="1" x14ac:dyDescent="0.35"/>
    <row r="8" spans="2:8" ht="24" customHeight="1" x14ac:dyDescent="0.35">
      <c r="B8" s="13" t="s">
        <v>2</v>
      </c>
      <c r="C8" s="10" t="s">
        <v>175</v>
      </c>
      <c r="D8" s="10"/>
      <c r="E8" s="10"/>
      <c r="F8" s="10"/>
      <c r="G8" s="10"/>
      <c r="H8" s="10"/>
    </row>
    <row r="9" spans="2:8" ht="24" customHeight="1" x14ac:dyDescent="0.35"/>
    <row r="10" spans="2:8" ht="24" customHeight="1" x14ac:dyDescent="0.35"/>
    <row r="11" spans="2:8" ht="24" customHeight="1" x14ac:dyDescent="0.35">
      <c r="B11" s="13" t="s">
        <v>3</v>
      </c>
      <c r="C11" s="10" t="s">
        <v>4</v>
      </c>
      <c r="D11" s="10"/>
      <c r="E11" s="10"/>
      <c r="F11" s="10"/>
      <c r="G11" s="10"/>
      <c r="H11" s="10"/>
    </row>
    <row r="12" spans="2:8" ht="24" customHeight="1" x14ac:dyDescent="0.35"/>
    <row r="13" spans="2:8" ht="42" customHeight="1" x14ac:dyDescent="0.35">
      <c r="B13" s="13" t="s">
        <v>5</v>
      </c>
      <c r="C13" s="10" t="s">
        <v>6</v>
      </c>
      <c r="D13" s="10"/>
      <c r="E13" s="10"/>
      <c r="F13" s="10"/>
      <c r="G13" s="10"/>
      <c r="H13" s="10"/>
    </row>
    <row r="14" spans="2:8" ht="24" customHeight="1" x14ac:dyDescent="0.35"/>
    <row r="15" spans="2:8" ht="42" customHeight="1" x14ac:dyDescent="0.35">
      <c r="B15" s="13" t="s">
        <v>7</v>
      </c>
      <c r="C15" s="10" t="s">
        <v>8</v>
      </c>
      <c r="D15" s="10"/>
      <c r="E15" s="10"/>
      <c r="F15" s="10"/>
      <c r="G15" s="10"/>
      <c r="H15" s="10"/>
    </row>
    <row r="16" spans="2:8" ht="24" customHeight="1" x14ac:dyDescent="0.35"/>
    <row r="17" spans="2:8" ht="24" customHeight="1" x14ac:dyDescent="0.35"/>
    <row r="18" spans="2:8" ht="24" customHeight="1" x14ac:dyDescent="0.35"/>
    <row r="19" spans="2:8" ht="24" customHeight="1" x14ac:dyDescent="0.35"/>
    <row r="20" spans="2:8" ht="24" customHeight="1" x14ac:dyDescent="0.35">
      <c r="B20" s="9"/>
      <c r="C20" s="9"/>
      <c r="D20" s="9"/>
      <c r="E20" s="9"/>
      <c r="F20" s="9"/>
      <c r="G20" s="9"/>
      <c r="H20" s="9"/>
    </row>
    <row r="21" spans="2:8" ht="24" customHeight="1" x14ac:dyDescent="0.35">
      <c r="B21" s="9"/>
      <c r="C21" s="9"/>
      <c r="D21" s="9"/>
      <c r="E21" s="9"/>
      <c r="F21" s="9"/>
      <c r="G21" s="9"/>
      <c r="H21" s="9"/>
    </row>
    <row r="22" spans="2:8" ht="24" customHeight="1" x14ac:dyDescent="0.35"/>
    <row r="23" spans="2:8" ht="24" customHeight="1" x14ac:dyDescent="0.35"/>
  </sheetData>
  <mergeCells count="6">
    <mergeCell ref="C15:H15"/>
    <mergeCell ref="B20:H21"/>
    <mergeCell ref="B2:H3"/>
    <mergeCell ref="C8:H8"/>
    <mergeCell ref="C11:H11"/>
    <mergeCell ref="C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2B5B0"/>
  </sheetPr>
  <dimension ref="A1:F75"/>
  <sheetViews>
    <sheetView zoomScaleNormal="100" workbookViewId="0">
      <pane ySplit="3" topLeftCell="A7" activePane="bottomLeft" state="frozen"/>
      <selection pane="bottomLeft" sqref="A1:F1"/>
    </sheetView>
  </sheetViews>
  <sheetFormatPr baseColWidth="10" defaultColWidth="8.6328125" defaultRowHeight="15" customHeight="1" x14ac:dyDescent="0.35"/>
  <cols>
    <col min="1" max="1" width="14" customWidth="1"/>
    <col min="2" max="2" width="18" customWidth="1"/>
    <col min="3" max="3" width="16" customWidth="1"/>
    <col min="4" max="4" width="18" customWidth="1"/>
    <col min="5" max="5" width="14" customWidth="1"/>
    <col min="6" max="6" width="16" customWidth="1"/>
  </cols>
  <sheetData>
    <row r="1" spans="1:6" ht="20" x14ac:dyDescent="0.35">
      <c r="A1" s="8" t="s">
        <v>9</v>
      </c>
      <c r="B1" s="8"/>
      <c r="C1" s="8"/>
      <c r="D1" s="8"/>
      <c r="E1" s="8"/>
      <c r="F1" s="8"/>
    </row>
    <row r="2" spans="1:6" ht="15" customHeight="1" x14ac:dyDescent="0.35">
      <c r="A2" s="7" t="s">
        <v>10</v>
      </c>
      <c r="B2" s="7"/>
      <c r="C2" s="7"/>
      <c r="D2" s="7"/>
      <c r="E2" s="7"/>
      <c r="F2" s="7"/>
    </row>
    <row r="3" spans="1:6" ht="14.5" x14ac:dyDescent="0.35">
      <c r="A3" s="14" t="s">
        <v>11</v>
      </c>
      <c r="B3" s="14" t="s">
        <v>12</v>
      </c>
      <c r="C3" s="14" t="s">
        <v>13</v>
      </c>
      <c r="D3" s="14" t="s">
        <v>14</v>
      </c>
      <c r="E3" s="14" t="s">
        <v>15</v>
      </c>
      <c r="F3" s="14" t="s">
        <v>16</v>
      </c>
    </row>
    <row r="4" spans="1:6" ht="14.5" x14ac:dyDescent="0.35">
      <c r="A4" s="15">
        <v>45292</v>
      </c>
      <c r="B4" s="16" t="s">
        <v>17</v>
      </c>
      <c r="C4" s="16" t="s">
        <v>18</v>
      </c>
      <c r="D4" s="16" t="s">
        <v>19</v>
      </c>
      <c r="E4" s="16" t="s">
        <v>20</v>
      </c>
      <c r="F4" s="17">
        <v>2600</v>
      </c>
    </row>
    <row r="5" spans="1:6" ht="14.5" x14ac:dyDescent="0.35">
      <c r="A5" s="15">
        <v>45292</v>
      </c>
      <c r="B5" s="16" t="s">
        <v>17</v>
      </c>
      <c r="C5" s="16" t="s">
        <v>18</v>
      </c>
      <c r="D5" s="16" t="s">
        <v>21</v>
      </c>
      <c r="E5" s="16" t="s">
        <v>22</v>
      </c>
      <c r="F5" s="17">
        <v>1500</v>
      </c>
    </row>
    <row r="6" spans="1:6" ht="14.5" x14ac:dyDescent="0.35">
      <c r="A6" s="15">
        <v>45292</v>
      </c>
      <c r="B6" s="16" t="s">
        <v>17</v>
      </c>
      <c r="C6" s="16" t="s">
        <v>23</v>
      </c>
      <c r="D6" s="16" t="s">
        <v>24</v>
      </c>
      <c r="E6" s="16" t="s">
        <v>25</v>
      </c>
      <c r="F6" s="17">
        <v>1100</v>
      </c>
    </row>
    <row r="7" spans="1:6" ht="14.5" x14ac:dyDescent="0.35">
      <c r="A7" s="15">
        <v>45292</v>
      </c>
      <c r="B7" s="16" t="s">
        <v>17</v>
      </c>
      <c r="C7" s="16" t="s">
        <v>26</v>
      </c>
      <c r="D7" s="16" t="s">
        <v>27</v>
      </c>
      <c r="E7" s="16" t="s">
        <v>28</v>
      </c>
      <c r="F7" s="17">
        <v>2600</v>
      </c>
    </row>
    <row r="8" spans="1:6" ht="14.5" x14ac:dyDescent="0.35">
      <c r="A8" s="15">
        <v>45292</v>
      </c>
      <c r="B8" s="16" t="s">
        <v>17</v>
      </c>
      <c r="C8" s="16" t="s">
        <v>26</v>
      </c>
      <c r="D8" s="16" t="s">
        <v>29</v>
      </c>
      <c r="E8" s="16" t="s">
        <v>30</v>
      </c>
      <c r="F8" s="17">
        <v>1500</v>
      </c>
    </row>
    <row r="9" spans="1:6" ht="14.5" x14ac:dyDescent="0.35">
      <c r="A9" s="15">
        <v>45292</v>
      </c>
      <c r="B9" s="16" t="s">
        <v>17</v>
      </c>
      <c r="C9" s="16" t="s">
        <v>31</v>
      </c>
      <c r="D9" s="16" t="s">
        <v>32</v>
      </c>
      <c r="E9" s="16" t="s">
        <v>33</v>
      </c>
      <c r="F9" s="17">
        <v>1100</v>
      </c>
    </row>
    <row r="10" spans="1:6" ht="14.5" x14ac:dyDescent="0.35">
      <c r="A10" s="15">
        <v>45323</v>
      </c>
      <c r="B10" s="16" t="s">
        <v>34</v>
      </c>
      <c r="C10" s="16" t="s">
        <v>35</v>
      </c>
      <c r="D10" s="16" t="s">
        <v>36</v>
      </c>
      <c r="E10" s="16" t="s">
        <v>25</v>
      </c>
      <c r="F10" s="17">
        <v>2600</v>
      </c>
    </row>
    <row r="11" spans="1:6" ht="14.5" x14ac:dyDescent="0.35">
      <c r="A11" s="15">
        <v>45323</v>
      </c>
      <c r="B11" s="16" t="s">
        <v>34</v>
      </c>
      <c r="C11" s="16" t="s">
        <v>35</v>
      </c>
      <c r="D11" s="16" t="s">
        <v>37</v>
      </c>
      <c r="E11" s="16" t="s">
        <v>38</v>
      </c>
      <c r="F11" s="17">
        <v>1500</v>
      </c>
    </row>
    <row r="12" spans="1:6" ht="14.5" x14ac:dyDescent="0.35">
      <c r="A12" s="15">
        <v>45323</v>
      </c>
      <c r="B12" s="16" t="s">
        <v>34</v>
      </c>
      <c r="C12" s="16" t="s">
        <v>39</v>
      </c>
      <c r="D12" s="16" t="s">
        <v>40</v>
      </c>
      <c r="E12" s="16" t="s">
        <v>41</v>
      </c>
      <c r="F12" s="17">
        <v>1100</v>
      </c>
    </row>
    <row r="13" spans="1:6" ht="14.5" x14ac:dyDescent="0.35">
      <c r="A13" s="15">
        <v>45323</v>
      </c>
      <c r="B13" s="16" t="s">
        <v>34</v>
      </c>
      <c r="C13" s="16" t="s">
        <v>42</v>
      </c>
      <c r="D13" s="16" t="s">
        <v>43</v>
      </c>
      <c r="E13" s="16" t="s">
        <v>33</v>
      </c>
      <c r="F13" s="17">
        <v>2600</v>
      </c>
    </row>
    <row r="14" spans="1:6" ht="14.5" x14ac:dyDescent="0.35">
      <c r="A14" s="15">
        <v>45323</v>
      </c>
      <c r="B14" s="16" t="s">
        <v>34</v>
      </c>
      <c r="C14" s="16" t="s">
        <v>42</v>
      </c>
      <c r="D14" s="16" t="s">
        <v>44</v>
      </c>
      <c r="E14" s="16" t="s">
        <v>45</v>
      </c>
      <c r="F14" s="17">
        <v>1500</v>
      </c>
    </row>
    <row r="15" spans="1:6" ht="14.5" x14ac:dyDescent="0.35">
      <c r="A15" s="15">
        <v>45323</v>
      </c>
      <c r="B15" s="16" t="s">
        <v>34</v>
      </c>
      <c r="C15" s="16" t="s">
        <v>46</v>
      </c>
      <c r="D15" s="16" t="s">
        <v>47</v>
      </c>
      <c r="E15" s="16" t="s">
        <v>48</v>
      </c>
      <c r="F15" s="17">
        <v>1100</v>
      </c>
    </row>
    <row r="16" spans="1:6" ht="14.5" x14ac:dyDescent="0.35">
      <c r="A16" s="15">
        <v>45352</v>
      </c>
      <c r="B16" s="16" t="s">
        <v>49</v>
      </c>
      <c r="C16" s="16" t="s">
        <v>23</v>
      </c>
      <c r="D16" s="16" t="s">
        <v>50</v>
      </c>
      <c r="E16" s="16" t="s">
        <v>51</v>
      </c>
      <c r="F16" s="17">
        <v>2600</v>
      </c>
    </row>
    <row r="17" spans="1:6" ht="14.5" x14ac:dyDescent="0.35">
      <c r="A17" s="15">
        <v>45352</v>
      </c>
      <c r="B17" s="16" t="s">
        <v>49</v>
      </c>
      <c r="C17" s="16" t="s">
        <v>23</v>
      </c>
      <c r="D17" s="16" t="s">
        <v>52</v>
      </c>
      <c r="E17" s="16" t="s">
        <v>53</v>
      </c>
      <c r="F17" s="17">
        <v>1500</v>
      </c>
    </row>
    <row r="18" spans="1:6" ht="14.5" x14ac:dyDescent="0.35">
      <c r="A18" s="15">
        <v>45352</v>
      </c>
      <c r="B18" s="16" t="s">
        <v>49</v>
      </c>
      <c r="C18" s="16" t="s">
        <v>54</v>
      </c>
      <c r="D18" s="16" t="s">
        <v>55</v>
      </c>
      <c r="E18" s="16" t="s">
        <v>56</v>
      </c>
      <c r="F18" s="17">
        <v>1100</v>
      </c>
    </row>
    <row r="19" spans="1:6" ht="14.5" x14ac:dyDescent="0.35">
      <c r="A19" s="15">
        <v>45352</v>
      </c>
      <c r="B19" s="16" t="s">
        <v>49</v>
      </c>
      <c r="C19" s="16" t="s">
        <v>31</v>
      </c>
      <c r="D19" s="16" t="s">
        <v>19</v>
      </c>
      <c r="E19" s="16" t="s">
        <v>57</v>
      </c>
      <c r="F19" s="17">
        <v>2600</v>
      </c>
    </row>
    <row r="20" spans="1:6" ht="14.5" x14ac:dyDescent="0.35">
      <c r="A20" s="15">
        <v>45352</v>
      </c>
      <c r="B20" s="16" t="s">
        <v>49</v>
      </c>
      <c r="C20" s="16" t="s">
        <v>31</v>
      </c>
      <c r="D20" s="16" t="s">
        <v>21</v>
      </c>
      <c r="E20" s="16" t="s">
        <v>58</v>
      </c>
      <c r="F20" s="17">
        <v>1500</v>
      </c>
    </row>
    <row r="21" spans="1:6" ht="14.5" x14ac:dyDescent="0.35">
      <c r="A21" s="15">
        <v>45352</v>
      </c>
      <c r="B21" s="16" t="s">
        <v>49</v>
      </c>
      <c r="C21" s="16" t="s">
        <v>59</v>
      </c>
      <c r="D21" s="16" t="s">
        <v>24</v>
      </c>
      <c r="E21" s="16" t="s">
        <v>30</v>
      </c>
      <c r="F21" s="17">
        <v>1100</v>
      </c>
    </row>
    <row r="22" spans="1:6" ht="14.5" x14ac:dyDescent="0.35">
      <c r="A22" s="15">
        <v>45383</v>
      </c>
      <c r="B22" s="16" t="s">
        <v>60</v>
      </c>
      <c r="C22" s="16" t="s">
        <v>39</v>
      </c>
      <c r="D22" s="16" t="s">
        <v>27</v>
      </c>
      <c r="E22" s="16" t="s">
        <v>61</v>
      </c>
      <c r="F22" s="17">
        <v>2600</v>
      </c>
    </row>
    <row r="23" spans="1:6" ht="14.5" x14ac:dyDescent="0.35">
      <c r="A23" s="15">
        <v>45383</v>
      </c>
      <c r="B23" s="16" t="s">
        <v>60</v>
      </c>
      <c r="C23" s="16" t="s">
        <v>39</v>
      </c>
      <c r="D23" s="16" t="s">
        <v>29</v>
      </c>
      <c r="E23" s="16" t="s">
        <v>62</v>
      </c>
      <c r="F23" s="17">
        <v>1500</v>
      </c>
    </row>
    <row r="24" spans="1:6" ht="14.5" x14ac:dyDescent="0.35">
      <c r="A24" s="15">
        <v>45383</v>
      </c>
      <c r="B24" s="16" t="s">
        <v>60</v>
      </c>
      <c r="C24" s="16" t="s">
        <v>18</v>
      </c>
      <c r="D24" s="16" t="s">
        <v>32</v>
      </c>
      <c r="E24" s="16" t="s">
        <v>63</v>
      </c>
      <c r="F24" s="17">
        <v>1100</v>
      </c>
    </row>
    <row r="25" spans="1:6" ht="14.5" x14ac:dyDescent="0.35">
      <c r="A25" s="15">
        <v>45383</v>
      </c>
      <c r="B25" s="16" t="s">
        <v>60</v>
      </c>
      <c r="C25" s="16" t="s">
        <v>46</v>
      </c>
      <c r="D25" s="16" t="s">
        <v>36</v>
      </c>
      <c r="E25" s="16" t="s">
        <v>25</v>
      </c>
      <c r="F25" s="17">
        <v>2600</v>
      </c>
    </row>
    <row r="26" spans="1:6" ht="14.5" x14ac:dyDescent="0.35">
      <c r="A26" s="15">
        <v>45383</v>
      </c>
      <c r="B26" s="16" t="s">
        <v>60</v>
      </c>
      <c r="C26" s="16" t="s">
        <v>46</v>
      </c>
      <c r="D26" s="16" t="s">
        <v>37</v>
      </c>
      <c r="E26" s="16" t="s">
        <v>64</v>
      </c>
      <c r="F26" s="17">
        <v>1500</v>
      </c>
    </row>
    <row r="27" spans="1:6" ht="14.5" x14ac:dyDescent="0.35">
      <c r="A27" s="15">
        <v>45383</v>
      </c>
      <c r="B27" s="16" t="s">
        <v>60</v>
      </c>
      <c r="C27" s="16" t="s">
        <v>26</v>
      </c>
      <c r="D27" s="16" t="s">
        <v>40</v>
      </c>
      <c r="E27" s="16" t="s">
        <v>41</v>
      </c>
      <c r="F27" s="17">
        <v>1100</v>
      </c>
    </row>
    <row r="28" spans="1:6" ht="14.5" x14ac:dyDescent="0.35">
      <c r="A28" s="15">
        <v>45413</v>
      </c>
      <c r="B28" s="16" t="s">
        <v>65</v>
      </c>
      <c r="C28" s="16" t="s">
        <v>54</v>
      </c>
      <c r="D28" s="16" t="s">
        <v>43</v>
      </c>
      <c r="E28" s="16" t="s">
        <v>64</v>
      </c>
      <c r="F28" s="17">
        <v>2600</v>
      </c>
    </row>
    <row r="29" spans="1:6" ht="14.5" x14ac:dyDescent="0.35">
      <c r="A29" s="15">
        <v>45413</v>
      </c>
      <c r="B29" s="16" t="s">
        <v>65</v>
      </c>
      <c r="C29" s="16" t="s">
        <v>54</v>
      </c>
      <c r="D29" s="16" t="s">
        <v>44</v>
      </c>
      <c r="E29" s="16" t="s">
        <v>66</v>
      </c>
      <c r="F29" s="17">
        <v>1500</v>
      </c>
    </row>
    <row r="30" spans="1:6" ht="14.5" x14ac:dyDescent="0.35">
      <c r="A30" s="15">
        <v>45413</v>
      </c>
      <c r="B30" s="16" t="s">
        <v>65</v>
      </c>
      <c r="C30" s="16" t="s">
        <v>35</v>
      </c>
      <c r="D30" s="16" t="s">
        <v>47</v>
      </c>
      <c r="E30" s="16" t="s">
        <v>67</v>
      </c>
      <c r="F30" s="17">
        <v>1100</v>
      </c>
    </row>
    <row r="31" spans="1:6" ht="14.5" x14ac:dyDescent="0.35">
      <c r="A31" s="15">
        <v>45413</v>
      </c>
      <c r="B31" s="16" t="s">
        <v>65</v>
      </c>
      <c r="C31" s="16" t="s">
        <v>59</v>
      </c>
      <c r="D31" s="16" t="s">
        <v>50</v>
      </c>
      <c r="E31" s="16" t="s">
        <v>51</v>
      </c>
      <c r="F31" s="17">
        <v>2600</v>
      </c>
    </row>
    <row r="32" spans="1:6" ht="14.5" x14ac:dyDescent="0.35">
      <c r="A32" s="15">
        <v>45413</v>
      </c>
      <c r="B32" s="16" t="s">
        <v>65</v>
      </c>
      <c r="C32" s="16" t="s">
        <v>59</v>
      </c>
      <c r="D32" s="16" t="s">
        <v>52</v>
      </c>
      <c r="E32" s="16" t="s">
        <v>61</v>
      </c>
      <c r="F32" s="17">
        <v>1500</v>
      </c>
    </row>
    <row r="33" spans="1:6" ht="14.5" x14ac:dyDescent="0.35">
      <c r="A33" s="15">
        <v>45413</v>
      </c>
      <c r="B33" s="16" t="s">
        <v>65</v>
      </c>
      <c r="C33" s="16" t="s">
        <v>42</v>
      </c>
      <c r="D33" s="16" t="s">
        <v>55</v>
      </c>
      <c r="E33" s="16" t="s">
        <v>22</v>
      </c>
      <c r="F33" s="17">
        <v>1100</v>
      </c>
    </row>
    <row r="34" spans="1:6" ht="14.5" x14ac:dyDescent="0.35">
      <c r="A34" s="15">
        <v>45444</v>
      </c>
      <c r="B34" s="16" t="s">
        <v>68</v>
      </c>
      <c r="C34" s="16" t="s">
        <v>18</v>
      </c>
      <c r="D34" s="16" t="s">
        <v>19</v>
      </c>
      <c r="E34" s="16" t="s">
        <v>69</v>
      </c>
      <c r="F34" s="17">
        <v>2600</v>
      </c>
    </row>
    <row r="35" spans="1:6" ht="14.5" x14ac:dyDescent="0.35">
      <c r="A35" s="15">
        <v>45444</v>
      </c>
      <c r="B35" s="16" t="s">
        <v>68</v>
      </c>
      <c r="C35" s="16" t="s">
        <v>18</v>
      </c>
      <c r="D35" s="16" t="s">
        <v>21</v>
      </c>
      <c r="E35" s="16" t="s">
        <v>70</v>
      </c>
      <c r="F35" s="17">
        <v>1500</v>
      </c>
    </row>
    <row r="36" spans="1:6" ht="14.5" x14ac:dyDescent="0.35">
      <c r="A36" s="15">
        <v>45444</v>
      </c>
      <c r="B36" s="16" t="s">
        <v>68</v>
      </c>
      <c r="C36" s="16" t="s">
        <v>23</v>
      </c>
      <c r="D36" s="16" t="s">
        <v>24</v>
      </c>
      <c r="E36" s="16" t="s">
        <v>71</v>
      </c>
      <c r="F36" s="17">
        <v>1100</v>
      </c>
    </row>
    <row r="37" spans="1:6" ht="14.5" x14ac:dyDescent="0.35">
      <c r="A37" s="15">
        <v>45444</v>
      </c>
      <c r="B37" s="16" t="s">
        <v>68</v>
      </c>
      <c r="C37" s="16" t="s">
        <v>26</v>
      </c>
      <c r="D37" s="16" t="s">
        <v>27</v>
      </c>
      <c r="E37" s="16" t="s">
        <v>56</v>
      </c>
      <c r="F37" s="17">
        <v>2600</v>
      </c>
    </row>
    <row r="38" spans="1:6" ht="14.5" x14ac:dyDescent="0.35">
      <c r="A38" s="15">
        <v>45444</v>
      </c>
      <c r="B38" s="16" t="s">
        <v>68</v>
      </c>
      <c r="C38" s="16" t="s">
        <v>26</v>
      </c>
      <c r="D38" s="16" t="s">
        <v>29</v>
      </c>
      <c r="E38" s="16" t="s">
        <v>72</v>
      </c>
      <c r="F38" s="17">
        <v>1500</v>
      </c>
    </row>
    <row r="39" spans="1:6" ht="14.5" x14ac:dyDescent="0.35">
      <c r="A39" s="15">
        <v>45444</v>
      </c>
      <c r="B39" s="16" t="s">
        <v>68</v>
      </c>
      <c r="C39" s="16" t="s">
        <v>31</v>
      </c>
      <c r="D39" s="16" t="s">
        <v>32</v>
      </c>
      <c r="E39" s="16" t="s">
        <v>38</v>
      </c>
      <c r="F39" s="17">
        <v>1100</v>
      </c>
    </row>
    <row r="40" spans="1:6" ht="14.5" x14ac:dyDescent="0.35">
      <c r="A40" s="15">
        <v>45474</v>
      </c>
      <c r="B40" s="16" t="s">
        <v>73</v>
      </c>
      <c r="C40" s="16" t="s">
        <v>35</v>
      </c>
      <c r="D40" s="16" t="s">
        <v>36</v>
      </c>
      <c r="E40" s="16" t="s">
        <v>62</v>
      </c>
      <c r="F40" s="17">
        <v>2600</v>
      </c>
    </row>
    <row r="41" spans="1:6" ht="14.5" x14ac:dyDescent="0.35">
      <c r="A41" s="15">
        <v>45474</v>
      </c>
      <c r="B41" s="16" t="s">
        <v>73</v>
      </c>
      <c r="C41" s="16" t="s">
        <v>35</v>
      </c>
      <c r="D41" s="16" t="s">
        <v>37</v>
      </c>
      <c r="E41" s="16" t="s">
        <v>74</v>
      </c>
      <c r="F41" s="17">
        <v>1500</v>
      </c>
    </row>
    <row r="42" spans="1:6" ht="14.5" x14ac:dyDescent="0.35">
      <c r="A42" s="15">
        <v>45474</v>
      </c>
      <c r="B42" s="16" t="s">
        <v>73</v>
      </c>
      <c r="C42" s="16" t="s">
        <v>39</v>
      </c>
      <c r="D42" s="16" t="s">
        <v>40</v>
      </c>
      <c r="E42" s="16" t="s">
        <v>75</v>
      </c>
      <c r="F42" s="17">
        <v>1100</v>
      </c>
    </row>
    <row r="43" spans="1:6" ht="14.5" x14ac:dyDescent="0.35">
      <c r="A43" s="15">
        <v>45474</v>
      </c>
      <c r="B43" s="16" t="s">
        <v>73</v>
      </c>
      <c r="C43" s="16" t="s">
        <v>42</v>
      </c>
      <c r="D43" s="16" t="s">
        <v>43</v>
      </c>
      <c r="E43" s="16" t="s">
        <v>76</v>
      </c>
      <c r="F43" s="17">
        <v>2600</v>
      </c>
    </row>
    <row r="44" spans="1:6" ht="14.5" x14ac:dyDescent="0.35">
      <c r="A44" s="15">
        <v>45474</v>
      </c>
      <c r="B44" s="16" t="s">
        <v>73</v>
      </c>
      <c r="C44" s="16" t="s">
        <v>42</v>
      </c>
      <c r="D44" s="16" t="s">
        <v>44</v>
      </c>
      <c r="E44" s="16" t="s">
        <v>77</v>
      </c>
      <c r="F44" s="17">
        <v>1500</v>
      </c>
    </row>
    <row r="45" spans="1:6" ht="14.5" x14ac:dyDescent="0.35">
      <c r="A45" s="15">
        <v>45474</v>
      </c>
      <c r="B45" s="16" t="s">
        <v>73</v>
      </c>
      <c r="C45" s="16" t="s">
        <v>46</v>
      </c>
      <c r="D45" s="16" t="s">
        <v>47</v>
      </c>
      <c r="E45" s="16" t="s">
        <v>53</v>
      </c>
      <c r="F45" s="17">
        <v>1100</v>
      </c>
    </row>
    <row r="46" spans="1:6" ht="14.5" x14ac:dyDescent="0.35">
      <c r="A46" s="15">
        <v>45505</v>
      </c>
      <c r="B46" s="16" t="s">
        <v>78</v>
      </c>
      <c r="C46" s="16" t="s">
        <v>23</v>
      </c>
      <c r="D46" s="16" t="s">
        <v>50</v>
      </c>
      <c r="E46" s="16" t="s">
        <v>79</v>
      </c>
      <c r="F46" s="17">
        <v>2600</v>
      </c>
    </row>
    <row r="47" spans="1:6" ht="14.5" x14ac:dyDescent="0.35">
      <c r="A47" s="15">
        <v>45505</v>
      </c>
      <c r="B47" s="16" t="s">
        <v>78</v>
      </c>
      <c r="C47" s="16" t="s">
        <v>23</v>
      </c>
      <c r="D47" s="16" t="s">
        <v>52</v>
      </c>
      <c r="E47" s="16" t="s">
        <v>80</v>
      </c>
      <c r="F47" s="17">
        <v>1500</v>
      </c>
    </row>
    <row r="48" spans="1:6" ht="14.5" x14ac:dyDescent="0.35">
      <c r="A48" s="15">
        <v>45505</v>
      </c>
      <c r="B48" s="16" t="s">
        <v>78</v>
      </c>
      <c r="C48" s="16" t="s">
        <v>54</v>
      </c>
      <c r="D48" s="16" t="s">
        <v>55</v>
      </c>
      <c r="E48" s="16" t="s">
        <v>81</v>
      </c>
      <c r="F48" s="17">
        <v>1100</v>
      </c>
    </row>
    <row r="49" spans="1:6" ht="14.5" x14ac:dyDescent="0.35">
      <c r="A49" s="15">
        <v>45505</v>
      </c>
      <c r="B49" s="16" t="s">
        <v>78</v>
      </c>
      <c r="C49" s="16" t="s">
        <v>31</v>
      </c>
      <c r="D49" s="16" t="s">
        <v>19</v>
      </c>
      <c r="E49" s="16" t="s">
        <v>67</v>
      </c>
      <c r="F49" s="17">
        <v>2600</v>
      </c>
    </row>
    <row r="50" spans="1:6" ht="14.5" x14ac:dyDescent="0.35">
      <c r="A50" s="15">
        <v>45505</v>
      </c>
      <c r="B50" s="16" t="s">
        <v>78</v>
      </c>
      <c r="C50" s="16" t="s">
        <v>31</v>
      </c>
      <c r="D50" s="16" t="s">
        <v>21</v>
      </c>
      <c r="E50" s="16" t="s">
        <v>71</v>
      </c>
      <c r="F50" s="17">
        <v>1500</v>
      </c>
    </row>
    <row r="51" spans="1:6" ht="14.5" x14ac:dyDescent="0.35">
      <c r="A51" s="15">
        <v>45505</v>
      </c>
      <c r="B51" s="16" t="s">
        <v>78</v>
      </c>
      <c r="C51" s="16" t="s">
        <v>59</v>
      </c>
      <c r="D51" s="16" t="s">
        <v>24</v>
      </c>
      <c r="E51" s="16" t="s">
        <v>62</v>
      </c>
      <c r="F51" s="17">
        <v>1100</v>
      </c>
    </row>
    <row r="52" spans="1:6" ht="14.5" x14ac:dyDescent="0.35">
      <c r="A52" s="15">
        <v>45536</v>
      </c>
      <c r="B52" s="16" t="s">
        <v>82</v>
      </c>
      <c r="C52" s="16" t="s">
        <v>39</v>
      </c>
      <c r="D52" s="16" t="s">
        <v>27</v>
      </c>
      <c r="E52" s="16" t="s">
        <v>70</v>
      </c>
      <c r="F52" s="17">
        <v>2600</v>
      </c>
    </row>
    <row r="53" spans="1:6" ht="14.5" x14ac:dyDescent="0.35">
      <c r="A53" s="15">
        <v>45536</v>
      </c>
      <c r="B53" s="16" t="s">
        <v>82</v>
      </c>
      <c r="C53" s="16" t="s">
        <v>39</v>
      </c>
      <c r="D53" s="16" t="s">
        <v>29</v>
      </c>
      <c r="E53" s="16" t="s">
        <v>83</v>
      </c>
      <c r="F53" s="17">
        <v>1500</v>
      </c>
    </row>
    <row r="54" spans="1:6" ht="14.5" x14ac:dyDescent="0.35">
      <c r="A54" s="15">
        <v>45536</v>
      </c>
      <c r="B54" s="16" t="s">
        <v>82</v>
      </c>
      <c r="C54" s="16" t="s">
        <v>18</v>
      </c>
      <c r="D54" s="16" t="s">
        <v>32</v>
      </c>
      <c r="E54" s="16" t="s">
        <v>84</v>
      </c>
      <c r="F54" s="17">
        <v>1100</v>
      </c>
    </row>
    <row r="55" spans="1:6" ht="14.5" x14ac:dyDescent="0.35">
      <c r="A55" s="15">
        <v>45536</v>
      </c>
      <c r="B55" s="16" t="s">
        <v>82</v>
      </c>
      <c r="C55" s="16" t="s">
        <v>46</v>
      </c>
      <c r="D55" s="16" t="s">
        <v>36</v>
      </c>
      <c r="E55" s="16" t="s">
        <v>72</v>
      </c>
      <c r="F55" s="17">
        <v>2600</v>
      </c>
    </row>
    <row r="56" spans="1:6" ht="14.5" x14ac:dyDescent="0.35">
      <c r="A56" s="15">
        <v>45536</v>
      </c>
      <c r="B56" s="16" t="s">
        <v>82</v>
      </c>
      <c r="C56" s="16" t="s">
        <v>46</v>
      </c>
      <c r="D56" s="16" t="s">
        <v>37</v>
      </c>
      <c r="E56" s="16" t="s">
        <v>75</v>
      </c>
      <c r="F56" s="17">
        <v>1500</v>
      </c>
    </row>
    <row r="57" spans="1:6" ht="14.5" x14ac:dyDescent="0.35">
      <c r="A57" s="15">
        <v>45536</v>
      </c>
      <c r="B57" s="16" t="s">
        <v>82</v>
      </c>
      <c r="C57" s="16" t="s">
        <v>26</v>
      </c>
      <c r="D57" s="16" t="s">
        <v>40</v>
      </c>
      <c r="E57" s="16" t="s">
        <v>69</v>
      </c>
      <c r="F57" s="17">
        <v>1100</v>
      </c>
    </row>
    <row r="58" spans="1:6" ht="14.5" x14ac:dyDescent="0.35">
      <c r="A58" s="15">
        <v>45566</v>
      </c>
      <c r="B58" s="16" t="s">
        <v>85</v>
      </c>
      <c r="C58" s="16" t="s">
        <v>54</v>
      </c>
      <c r="D58" s="16" t="s">
        <v>43</v>
      </c>
      <c r="E58" s="16" t="s">
        <v>86</v>
      </c>
      <c r="F58" s="17">
        <v>2600</v>
      </c>
    </row>
    <row r="59" spans="1:6" ht="14.5" x14ac:dyDescent="0.35">
      <c r="A59" s="15">
        <v>45566</v>
      </c>
      <c r="B59" s="16" t="s">
        <v>85</v>
      </c>
      <c r="C59" s="16" t="s">
        <v>54</v>
      </c>
      <c r="D59" s="16" t="s">
        <v>44</v>
      </c>
      <c r="E59" s="16" t="s">
        <v>87</v>
      </c>
      <c r="F59" s="17">
        <v>1500</v>
      </c>
    </row>
    <row r="60" spans="1:6" ht="14.5" x14ac:dyDescent="0.35">
      <c r="A60" s="15">
        <v>45566</v>
      </c>
      <c r="B60" s="16" t="s">
        <v>85</v>
      </c>
      <c r="C60" s="16" t="s">
        <v>35</v>
      </c>
      <c r="D60" s="16" t="s">
        <v>47</v>
      </c>
      <c r="E60" s="16" t="s">
        <v>88</v>
      </c>
      <c r="F60" s="17">
        <v>1100</v>
      </c>
    </row>
    <row r="61" spans="1:6" ht="14.5" x14ac:dyDescent="0.35">
      <c r="A61" s="15">
        <v>45566</v>
      </c>
      <c r="B61" s="16" t="s">
        <v>85</v>
      </c>
      <c r="C61" s="16" t="s">
        <v>59</v>
      </c>
      <c r="D61" s="16" t="s">
        <v>50</v>
      </c>
      <c r="E61" s="16" t="s">
        <v>75</v>
      </c>
      <c r="F61" s="17">
        <v>2600</v>
      </c>
    </row>
    <row r="62" spans="1:6" ht="14.5" x14ac:dyDescent="0.35">
      <c r="A62" s="15">
        <v>45566</v>
      </c>
      <c r="B62" s="16" t="s">
        <v>85</v>
      </c>
      <c r="C62" s="16" t="s">
        <v>59</v>
      </c>
      <c r="D62" s="16" t="s">
        <v>52</v>
      </c>
      <c r="E62" s="16" t="s">
        <v>89</v>
      </c>
      <c r="F62" s="17">
        <v>1500</v>
      </c>
    </row>
    <row r="63" spans="1:6" ht="14.5" x14ac:dyDescent="0.35">
      <c r="A63" s="15">
        <v>45566</v>
      </c>
      <c r="B63" s="16" t="s">
        <v>85</v>
      </c>
      <c r="C63" s="16" t="s">
        <v>42</v>
      </c>
      <c r="D63" s="16" t="s">
        <v>55</v>
      </c>
      <c r="E63" s="16" t="s">
        <v>90</v>
      </c>
      <c r="F63" s="17">
        <v>1100</v>
      </c>
    </row>
    <row r="64" spans="1:6" ht="14.5" x14ac:dyDescent="0.35">
      <c r="A64" s="15">
        <v>45597</v>
      </c>
      <c r="B64" s="16" t="s">
        <v>91</v>
      </c>
      <c r="C64" s="16" t="s">
        <v>18</v>
      </c>
      <c r="D64" s="16" t="s">
        <v>19</v>
      </c>
      <c r="E64" s="16" t="s">
        <v>92</v>
      </c>
      <c r="F64" s="17">
        <v>2600</v>
      </c>
    </row>
    <row r="65" spans="1:6" ht="14.5" x14ac:dyDescent="0.35">
      <c r="A65" s="15">
        <v>45597</v>
      </c>
      <c r="B65" s="16" t="s">
        <v>91</v>
      </c>
      <c r="C65" s="16" t="s">
        <v>18</v>
      </c>
      <c r="D65" s="16" t="s">
        <v>21</v>
      </c>
      <c r="E65" s="16" t="s">
        <v>93</v>
      </c>
      <c r="F65" s="17">
        <v>1500</v>
      </c>
    </row>
    <row r="66" spans="1:6" ht="14.5" x14ac:dyDescent="0.35">
      <c r="A66" s="15">
        <v>45597</v>
      </c>
      <c r="B66" s="16" t="s">
        <v>91</v>
      </c>
      <c r="C66" s="16" t="s">
        <v>23</v>
      </c>
      <c r="D66" s="16" t="s">
        <v>24</v>
      </c>
      <c r="E66" s="16" t="s">
        <v>94</v>
      </c>
      <c r="F66" s="17">
        <v>1100</v>
      </c>
    </row>
    <row r="67" spans="1:6" ht="14.5" x14ac:dyDescent="0.35">
      <c r="A67" s="15">
        <v>45597</v>
      </c>
      <c r="B67" s="16" t="s">
        <v>91</v>
      </c>
      <c r="C67" s="16" t="s">
        <v>26</v>
      </c>
      <c r="D67" s="16" t="s">
        <v>27</v>
      </c>
      <c r="E67" s="16" t="s">
        <v>71</v>
      </c>
      <c r="F67" s="17">
        <v>2600</v>
      </c>
    </row>
    <row r="68" spans="1:6" ht="14.5" x14ac:dyDescent="0.35">
      <c r="A68" s="15">
        <v>45597</v>
      </c>
      <c r="B68" s="16" t="s">
        <v>91</v>
      </c>
      <c r="C68" s="16" t="s">
        <v>26</v>
      </c>
      <c r="D68" s="16" t="s">
        <v>29</v>
      </c>
      <c r="E68" s="16" t="s">
        <v>95</v>
      </c>
      <c r="F68" s="17">
        <v>1500</v>
      </c>
    </row>
    <row r="69" spans="1:6" ht="14.5" x14ac:dyDescent="0.35">
      <c r="A69" s="15">
        <v>45597</v>
      </c>
      <c r="B69" s="16" t="s">
        <v>91</v>
      </c>
      <c r="C69" s="16" t="s">
        <v>31</v>
      </c>
      <c r="D69" s="16" t="s">
        <v>32</v>
      </c>
      <c r="E69" s="16" t="s">
        <v>74</v>
      </c>
      <c r="F69" s="17">
        <v>1100</v>
      </c>
    </row>
    <row r="70" spans="1:6" ht="14.5" x14ac:dyDescent="0.35">
      <c r="A70" s="15">
        <v>45627</v>
      </c>
      <c r="B70" s="16" t="s">
        <v>96</v>
      </c>
      <c r="C70" s="16" t="s">
        <v>35</v>
      </c>
      <c r="D70" s="16" t="s">
        <v>36</v>
      </c>
      <c r="E70" s="16" t="s">
        <v>97</v>
      </c>
      <c r="F70" s="17">
        <v>2600</v>
      </c>
    </row>
    <row r="71" spans="1:6" ht="14.5" x14ac:dyDescent="0.35">
      <c r="A71" s="15">
        <v>45627</v>
      </c>
      <c r="B71" s="16" t="s">
        <v>96</v>
      </c>
      <c r="C71" s="16" t="s">
        <v>35</v>
      </c>
      <c r="D71" s="16" t="s">
        <v>37</v>
      </c>
      <c r="E71" s="16" t="s">
        <v>98</v>
      </c>
      <c r="F71" s="17">
        <v>1500</v>
      </c>
    </row>
    <row r="72" spans="1:6" ht="14.5" x14ac:dyDescent="0.35">
      <c r="A72" s="15">
        <v>45627</v>
      </c>
      <c r="B72" s="16" t="s">
        <v>96</v>
      </c>
      <c r="C72" s="16" t="s">
        <v>39</v>
      </c>
      <c r="D72" s="16" t="s">
        <v>40</v>
      </c>
      <c r="E72" s="16" t="s">
        <v>99</v>
      </c>
      <c r="F72" s="17">
        <v>1100</v>
      </c>
    </row>
    <row r="73" spans="1:6" ht="14.5" x14ac:dyDescent="0.35">
      <c r="A73" s="15">
        <v>45627</v>
      </c>
      <c r="B73" s="16" t="s">
        <v>96</v>
      </c>
      <c r="C73" s="16" t="s">
        <v>42</v>
      </c>
      <c r="D73" s="16" t="s">
        <v>43</v>
      </c>
      <c r="E73" s="16" t="s">
        <v>95</v>
      </c>
      <c r="F73" s="17">
        <v>2600</v>
      </c>
    </row>
    <row r="74" spans="1:6" ht="14.5" x14ac:dyDescent="0.35">
      <c r="A74" s="15">
        <v>45627</v>
      </c>
      <c r="B74" s="16" t="s">
        <v>96</v>
      </c>
      <c r="C74" s="16" t="s">
        <v>42</v>
      </c>
      <c r="D74" s="16" t="s">
        <v>44</v>
      </c>
      <c r="E74" s="16" t="s">
        <v>80</v>
      </c>
      <c r="F74" s="17">
        <v>1500</v>
      </c>
    </row>
    <row r="75" spans="1:6" ht="14.5" x14ac:dyDescent="0.35">
      <c r="A75" s="15">
        <v>45627</v>
      </c>
      <c r="B75" s="16" t="s">
        <v>96</v>
      </c>
      <c r="C75" s="16" t="s">
        <v>46</v>
      </c>
      <c r="D75" s="16" t="s">
        <v>47</v>
      </c>
      <c r="E75" s="16" t="s">
        <v>81</v>
      </c>
      <c r="F75" s="17">
        <v>1100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2B5B0"/>
  </sheetPr>
  <dimension ref="A1:L75"/>
  <sheetViews>
    <sheetView zoomScaleNormal="100" workbookViewId="0">
      <pane ySplit="3" topLeftCell="A4" activePane="bottomLeft" state="frozen"/>
      <selection pane="bottomLeft" sqref="A1:I1"/>
    </sheetView>
  </sheetViews>
  <sheetFormatPr baseColWidth="10" defaultColWidth="8.6328125" defaultRowHeight="15" customHeight="1" x14ac:dyDescent="0.35"/>
  <cols>
    <col min="1" max="1" width="14" customWidth="1"/>
    <col min="2" max="2" width="10" customWidth="1"/>
    <col min="3" max="3" width="18" customWidth="1"/>
    <col min="4" max="4" width="14" customWidth="1"/>
    <col min="5" max="5" width="16" customWidth="1"/>
    <col min="6" max="6" width="12" customWidth="1"/>
    <col min="7" max="8" width="16" customWidth="1"/>
    <col min="9" max="9" width="12" customWidth="1"/>
    <col min="11" max="11" width="18" customWidth="1"/>
    <col min="12" max="12" width="32" customWidth="1"/>
  </cols>
  <sheetData>
    <row r="1" spans="1:12" ht="20" x14ac:dyDescent="0.35">
      <c r="A1" s="8" t="s">
        <v>100</v>
      </c>
      <c r="B1" s="8"/>
      <c r="C1" s="8"/>
      <c r="D1" s="8"/>
      <c r="E1" s="8"/>
      <c r="F1" s="8"/>
      <c r="G1" s="8"/>
      <c r="H1" s="8"/>
      <c r="I1" s="8"/>
    </row>
    <row r="2" spans="1:12" ht="15" customHeight="1" x14ac:dyDescent="0.35">
      <c r="A2" s="7" t="s">
        <v>101</v>
      </c>
      <c r="B2" s="7"/>
      <c r="C2" s="7"/>
      <c r="D2" s="7"/>
      <c r="E2" s="7"/>
      <c r="F2" s="7"/>
      <c r="G2" s="7"/>
      <c r="H2" s="7"/>
      <c r="I2" s="7"/>
    </row>
    <row r="3" spans="1:12" ht="28" x14ac:dyDescent="0.35">
      <c r="A3" s="14" t="s">
        <v>11</v>
      </c>
      <c r="B3" s="14" t="s">
        <v>102</v>
      </c>
      <c r="C3" s="14" t="s">
        <v>12</v>
      </c>
      <c r="D3" s="14" t="s">
        <v>103</v>
      </c>
      <c r="E3" s="14" t="s">
        <v>104</v>
      </c>
      <c r="F3" s="14" t="s">
        <v>105</v>
      </c>
      <c r="G3" s="14" t="s">
        <v>16</v>
      </c>
      <c r="H3" s="14" t="s">
        <v>106</v>
      </c>
      <c r="I3" s="14" t="s">
        <v>107</v>
      </c>
      <c r="K3" s="18" t="s">
        <v>108</v>
      </c>
      <c r="L3" s="19"/>
    </row>
    <row r="4" spans="1:12" ht="14.5" x14ac:dyDescent="0.35">
      <c r="A4" s="15">
        <f>Datos_Raw!A4</f>
        <v>45292</v>
      </c>
      <c r="B4" s="16">
        <f t="shared" ref="B4:B35" si="0">YEAR(A4)</f>
        <v>2024</v>
      </c>
      <c r="C4" s="16" t="str">
        <f>Datos_Raw!B4</f>
        <v>Enero 2024</v>
      </c>
      <c r="D4" s="16" t="str">
        <f>PROPER(TRIM(Datos_Raw!C4))</f>
        <v>Norte</v>
      </c>
      <c r="E4" s="16" t="str">
        <f>PROPER(TRIM(Datos_Raw!D4))</f>
        <v>Tecnologia</v>
      </c>
      <c r="F4" s="16">
        <f>IFERROR(VALUE(TRIM(Datos_Raw!E4)),0)</f>
        <v>17</v>
      </c>
      <c r="G4" s="17">
        <f>Datos_Raw!F4</f>
        <v>2600</v>
      </c>
      <c r="H4" s="17">
        <f t="shared" ref="H4:H35" si="1">F4*G4</f>
        <v>44200</v>
      </c>
      <c r="I4" s="16" t="str">
        <f t="shared" ref="I4:I35" si="2">IF(OR(D4="",E4="",F4&lt;=0,G4&lt;=0),"Revisar","OK")</f>
        <v>OK</v>
      </c>
      <c r="K4" s="20" t="s">
        <v>103</v>
      </c>
      <c r="L4" s="21" t="str">
        <f>PROPER(TRIM(Datos_Raw!C4))</f>
        <v>Norte</v>
      </c>
    </row>
    <row r="5" spans="1:12" ht="14.5" x14ac:dyDescent="0.35">
      <c r="A5" s="15">
        <f>Datos_Raw!A5</f>
        <v>45292</v>
      </c>
      <c r="B5" s="16">
        <f t="shared" si="0"/>
        <v>2024</v>
      </c>
      <c r="C5" s="16" t="str">
        <f>Datos_Raw!B5</f>
        <v>Enero 2024</v>
      </c>
      <c r="D5" s="16" t="str">
        <f>PROPER(TRIM(Datos_Raw!C5))</f>
        <v>Norte</v>
      </c>
      <c r="E5" s="16" t="str">
        <f>PROPER(TRIM(Datos_Raw!D5))</f>
        <v>Hogar</v>
      </c>
      <c r="F5" s="16">
        <f>IFERROR(VALUE(TRIM(Datos_Raw!E5)),0)</f>
        <v>21</v>
      </c>
      <c r="G5" s="17">
        <f>Datos_Raw!F5</f>
        <v>1500</v>
      </c>
      <c r="H5" s="17">
        <f t="shared" si="1"/>
        <v>31500</v>
      </c>
      <c r="I5" s="16" t="str">
        <f t="shared" si="2"/>
        <v>OK</v>
      </c>
      <c r="K5" s="20" t="s">
        <v>104</v>
      </c>
      <c r="L5" s="21" t="str">
        <f>PROPER(TRIM(Datos_Raw!D4))</f>
        <v>Tecnologia</v>
      </c>
    </row>
    <row r="6" spans="1:12" ht="14.5" x14ac:dyDescent="0.35">
      <c r="A6" s="15">
        <f>Datos_Raw!A6</f>
        <v>45292</v>
      </c>
      <c r="B6" s="16">
        <f t="shared" si="0"/>
        <v>2024</v>
      </c>
      <c r="C6" s="16" t="str">
        <f>Datos_Raw!B6</f>
        <v>Enero 2024</v>
      </c>
      <c r="D6" s="16" t="str">
        <f>PROPER(TRIM(Datos_Raw!C6))</f>
        <v>Norte</v>
      </c>
      <c r="E6" s="16" t="str">
        <f>PROPER(TRIM(Datos_Raw!D6))</f>
        <v>Oficina</v>
      </c>
      <c r="F6" s="16">
        <f>IFERROR(VALUE(TRIM(Datos_Raw!E6)),0)</f>
        <v>19</v>
      </c>
      <c r="G6" s="17">
        <f>Datos_Raw!F6</f>
        <v>1100</v>
      </c>
      <c r="H6" s="17">
        <f t="shared" si="1"/>
        <v>20900</v>
      </c>
      <c r="I6" s="16" t="str">
        <f t="shared" si="2"/>
        <v>OK</v>
      </c>
      <c r="K6" s="20" t="s">
        <v>105</v>
      </c>
      <c r="L6" s="21">
        <f>IFERROR(VALUE(TRIM(Datos_Raw!E4)),0)</f>
        <v>17</v>
      </c>
    </row>
    <row r="7" spans="1:12" ht="14.5" x14ac:dyDescent="0.35">
      <c r="A7" s="15">
        <f>Datos_Raw!A7</f>
        <v>45292</v>
      </c>
      <c r="B7" s="16">
        <f t="shared" si="0"/>
        <v>2024</v>
      </c>
      <c r="C7" s="16" t="str">
        <f>Datos_Raw!B7</f>
        <v>Enero 2024</v>
      </c>
      <c r="D7" s="16" t="str">
        <f>PROPER(TRIM(Datos_Raw!C7))</f>
        <v>Sur</v>
      </c>
      <c r="E7" s="16" t="str">
        <f>PROPER(TRIM(Datos_Raw!D7))</f>
        <v>Tecnologia</v>
      </c>
      <c r="F7" s="16">
        <f>IFERROR(VALUE(TRIM(Datos_Raw!E7)),0)</f>
        <v>14</v>
      </c>
      <c r="G7" s="17">
        <f>Datos_Raw!F7</f>
        <v>2600</v>
      </c>
      <c r="H7" s="17">
        <f t="shared" si="1"/>
        <v>36400</v>
      </c>
      <c r="I7" s="16" t="str">
        <f t="shared" si="2"/>
        <v>OK</v>
      </c>
      <c r="K7" s="20" t="s">
        <v>106</v>
      </c>
      <c r="L7" s="22">
        <f>F4*G4</f>
        <v>44200</v>
      </c>
    </row>
    <row r="8" spans="1:12" ht="14.5" x14ac:dyDescent="0.35">
      <c r="A8" s="15">
        <f>Datos_Raw!A8</f>
        <v>45292</v>
      </c>
      <c r="B8" s="16">
        <f t="shared" si="0"/>
        <v>2024</v>
      </c>
      <c r="C8" s="16" t="str">
        <f>Datos_Raw!B8</f>
        <v>Enero 2024</v>
      </c>
      <c r="D8" s="16" t="str">
        <f>PROPER(TRIM(Datos_Raw!C8))</f>
        <v>Sur</v>
      </c>
      <c r="E8" s="16" t="str">
        <f>PROPER(TRIM(Datos_Raw!D8))</f>
        <v>Hogar</v>
      </c>
      <c r="F8" s="16">
        <f>IFERROR(VALUE(TRIM(Datos_Raw!E8)),0)</f>
        <v>18</v>
      </c>
      <c r="G8" s="17">
        <f>Datos_Raw!F8</f>
        <v>1500</v>
      </c>
      <c r="H8" s="17">
        <f t="shared" si="1"/>
        <v>27000</v>
      </c>
      <c r="I8" s="16" t="str">
        <f t="shared" si="2"/>
        <v>OK</v>
      </c>
    </row>
    <row r="9" spans="1:12" ht="14.5" x14ac:dyDescent="0.35">
      <c r="A9" s="15">
        <f>Datos_Raw!A9</f>
        <v>45292</v>
      </c>
      <c r="B9" s="16">
        <f t="shared" si="0"/>
        <v>2024</v>
      </c>
      <c r="C9" s="16" t="str">
        <f>Datos_Raw!B9</f>
        <v>Enero 2024</v>
      </c>
      <c r="D9" s="16" t="str">
        <f>PROPER(TRIM(Datos_Raw!C9))</f>
        <v>Sur</v>
      </c>
      <c r="E9" s="16" t="str">
        <f>PROPER(TRIM(Datos_Raw!D9))</f>
        <v>Oficina</v>
      </c>
      <c r="F9" s="16">
        <f>IFERROR(VALUE(TRIM(Datos_Raw!E9)),0)</f>
        <v>16</v>
      </c>
      <c r="G9" s="17">
        <f>Datos_Raw!F9</f>
        <v>1100</v>
      </c>
      <c r="H9" s="17">
        <f t="shared" si="1"/>
        <v>17600</v>
      </c>
      <c r="I9" s="16" t="str">
        <f t="shared" si="2"/>
        <v>OK</v>
      </c>
    </row>
    <row r="10" spans="1:12" ht="14.5" x14ac:dyDescent="0.35">
      <c r="A10" s="15">
        <f>Datos_Raw!A10</f>
        <v>45323</v>
      </c>
      <c r="B10" s="16">
        <f t="shared" si="0"/>
        <v>2024</v>
      </c>
      <c r="C10" s="16" t="str">
        <f>Datos_Raw!B10</f>
        <v>Febrero 2024</v>
      </c>
      <c r="D10" s="16" t="str">
        <f>PROPER(TRIM(Datos_Raw!C10))</f>
        <v>Norte</v>
      </c>
      <c r="E10" s="16" t="str">
        <f>PROPER(TRIM(Datos_Raw!D10))</f>
        <v>Tecnologia</v>
      </c>
      <c r="F10" s="16">
        <f>IFERROR(VALUE(TRIM(Datos_Raw!E10)),0)</f>
        <v>19</v>
      </c>
      <c r="G10" s="17">
        <f>Datos_Raw!F10</f>
        <v>2600</v>
      </c>
      <c r="H10" s="17">
        <f t="shared" si="1"/>
        <v>49400</v>
      </c>
      <c r="I10" s="16" t="str">
        <f t="shared" si="2"/>
        <v>OK</v>
      </c>
    </row>
    <row r="11" spans="1:12" ht="14.5" x14ac:dyDescent="0.35">
      <c r="A11" s="15">
        <f>Datos_Raw!A11</f>
        <v>45323</v>
      </c>
      <c r="B11" s="16">
        <f t="shared" si="0"/>
        <v>2024</v>
      </c>
      <c r="C11" s="16" t="str">
        <f>Datos_Raw!B11</f>
        <v>Febrero 2024</v>
      </c>
      <c r="D11" s="16" t="str">
        <f>PROPER(TRIM(Datos_Raw!C11))</f>
        <v>Norte</v>
      </c>
      <c r="E11" s="16" t="str">
        <f>PROPER(TRIM(Datos_Raw!D11))</f>
        <v>Hogar</v>
      </c>
      <c r="F11" s="16">
        <f>IFERROR(VALUE(TRIM(Datos_Raw!E11)),0)</f>
        <v>24</v>
      </c>
      <c r="G11" s="17">
        <f>Datos_Raw!F11</f>
        <v>1500</v>
      </c>
      <c r="H11" s="17">
        <f t="shared" si="1"/>
        <v>36000</v>
      </c>
      <c r="I11" s="16" t="str">
        <f t="shared" si="2"/>
        <v>OK</v>
      </c>
    </row>
    <row r="12" spans="1:12" ht="14.5" x14ac:dyDescent="0.35">
      <c r="A12" s="15">
        <f>Datos_Raw!A12</f>
        <v>45323</v>
      </c>
      <c r="B12" s="16">
        <f t="shared" si="0"/>
        <v>2024</v>
      </c>
      <c r="C12" s="16" t="str">
        <f>Datos_Raw!B12</f>
        <v>Febrero 2024</v>
      </c>
      <c r="D12" s="16" t="str">
        <f>PROPER(TRIM(Datos_Raw!C12))</f>
        <v>Norte</v>
      </c>
      <c r="E12" s="16" t="str">
        <f>PROPER(TRIM(Datos_Raw!D12))</f>
        <v>Oficina</v>
      </c>
      <c r="F12" s="16">
        <f>IFERROR(VALUE(TRIM(Datos_Raw!E12)),0)</f>
        <v>21</v>
      </c>
      <c r="G12" s="17">
        <f>Datos_Raw!F12</f>
        <v>1100</v>
      </c>
      <c r="H12" s="17">
        <f t="shared" si="1"/>
        <v>23100</v>
      </c>
      <c r="I12" s="16" t="str">
        <f t="shared" si="2"/>
        <v>OK</v>
      </c>
    </row>
    <row r="13" spans="1:12" ht="14.5" x14ac:dyDescent="0.35">
      <c r="A13" s="15">
        <f>Datos_Raw!A13</f>
        <v>45323</v>
      </c>
      <c r="B13" s="16">
        <f t="shared" si="0"/>
        <v>2024</v>
      </c>
      <c r="C13" s="16" t="str">
        <f>Datos_Raw!B13</f>
        <v>Febrero 2024</v>
      </c>
      <c r="D13" s="16" t="str">
        <f>PROPER(TRIM(Datos_Raw!C13))</f>
        <v>Sur</v>
      </c>
      <c r="E13" s="16" t="str">
        <f>PROPER(TRIM(Datos_Raw!D13))</f>
        <v>Tecnologia</v>
      </c>
      <c r="F13" s="16">
        <f>IFERROR(VALUE(TRIM(Datos_Raw!E13)),0)</f>
        <v>16</v>
      </c>
      <c r="G13" s="17">
        <f>Datos_Raw!F13</f>
        <v>2600</v>
      </c>
      <c r="H13" s="17">
        <f t="shared" si="1"/>
        <v>41600</v>
      </c>
      <c r="I13" s="16" t="str">
        <f t="shared" si="2"/>
        <v>OK</v>
      </c>
    </row>
    <row r="14" spans="1:12" ht="14.5" x14ac:dyDescent="0.35">
      <c r="A14" s="15">
        <f>Datos_Raw!A14</f>
        <v>45323</v>
      </c>
      <c r="B14" s="16">
        <f t="shared" si="0"/>
        <v>2024</v>
      </c>
      <c r="C14" s="16" t="str">
        <f>Datos_Raw!B14</f>
        <v>Febrero 2024</v>
      </c>
      <c r="D14" s="16" t="str">
        <f>PROPER(TRIM(Datos_Raw!C14))</f>
        <v>Sur</v>
      </c>
      <c r="E14" s="16" t="str">
        <f>PROPER(TRIM(Datos_Raw!D14))</f>
        <v>Hogar</v>
      </c>
      <c r="F14" s="16">
        <f>IFERROR(VALUE(TRIM(Datos_Raw!E14)),0)</f>
        <v>20</v>
      </c>
      <c r="G14" s="17">
        <f>Datos_Raw!F14</f>
        <v>1500</v>
      </c>
      <c r="H14" s="17">
        <f t="shared" si="1"/>
        <v>30000</v>
      </c>
      <c r="I14" s="16" t="str">
        <f t="shared" si="2"/>
        <v>OK</v>
      </c>
    </row>
    <row r="15" spans="1:12" ht="14.5" x14ac:dyDescent="0.35">
      <c r="A15" s="15">
        <f>Datos_Raw!A15</f>
        <v>45323</v>
      </c>
      <c r="B15" s="16">
        <f t="shared" si="0"/>
        <v>2024</v>
      </c>
      <c r="C15" s="16" t="str">
        <f>Datos_Raw!B15</f>
        <v>Febrero 2024</v>
      </c>
      <c r="D15" s="16" t="str">
        <f>PROPER(TRIM(Datos_Raw!C15))</f>
        <v>Sur</v>
      </c>
      <c r="E15" s="16" t="str">
        <f>PROPER(TRIM(Datos_Raw!D15))</f>
        <v>Oficina</v>
      </c>
      <c r="F15" s="16">
        <f>IFERROR(VALUE(TRIM(Datos_Raw!E15)),0)</f>
        <v>18</v>
      </c>
      <c r="G15" s="17">
        <f>Datos_Raw!F15</f>
        <v>1100</v>
      </c>
      <c r="H15" s="17">
        <f t="shared" si="1"/>
        <v>19800</v>
      </c>
      <c r="I15" s="16" t="str">
        <f t="shared" si="2"/>
        <v>OK</v>
      </c>
    </row>
    <row r="16" spans="1:12" ht="14.5" x14ac:dyDescent="0.35">
      <c r="A16" s="15">
        <f>Datos_Raw!A16</f>
        <v>45352</v>
      </c>
      <c r="B16" s="16">
        <f t="shared" si="0"/>
        <v>2024</v>
      </c>
      <c r="C16" s="16" t="str">
        <f>Datos_Raw!B16</f>
        <v>Marzo 2024</v>
      </c>
      <c r="D16" s="16" t="str">
        <f>PROPER(TRIM(Datos_Raw!C16))</f>
        <v>Norte</v>
      </c>
      <c r="E16" s="16" t="str">
        <f>PROPER(TRIM(Datos_Raw!D16))</f>
        <v>Tecnologia</v>
      </c>
      <c r="F16" s="16">
        <f>IFERROR(VALUE(TRIM(Datos_Raw!E16)),0)</f>
        <v>19</v>
      </c>
      <c r="G16" s="17">
        <f>Datos_Raw!F16</f>
        <v>2600</v>
      </c>
      <c r="H16" s="17">
        <f t="shared" si="1"/>
        <v>49400</v>
      </c>
      <c r="I16" s="16" t="str">
        <f t="shared" si="2"/>
        <v>OK</v>
      </c>
    </row>
    <row r="17" spans="1:9" ht="14.5" x14ac:dyDescent="0.35">
      <c r="A17" s="15">
        <f>Datos_Raw!A17</f>
        <v>45352</v>
      </c>
      <c r="B17" s="16">
        <f t="shared" si="0"/>
        <v>2024</v>
      </c>
      <c r="C17" s="16" t="str">
        <f>Datos_Raw!B17</f>
        <v>Marzo 2024</v>
      </c>
      <c r="D17" s="16" t="str">
        <f>PROPER(TRIM(Datos_Raw!C17))</f>
        <v>Norte</v>
      </c>
      <c r="E17" s="16" t="str">
        <f>PROPER(TRIM(Datos_Raw!D17))</f>
        <v>Hogar</v>
      </c>
      <c r="F17" s="16">
        <f>IFERROR(VALUE(TRIM(Datos_Raw!E17)),0)</f>
        <v>24</v>
      </c>
      <c r="G17" s="17">
        <f>Datos_Raw!F17</f>
        <v>1500</v>
      </c>
      <c r="H17" s="17">
        <f t="shared" si="1"/>
        <v>36000</v>
      </c>
      <c r="I17" s="16" t="str">
        <f t="shared" si="2"/>
        <v>OK</v>
      </c>
    </row>
    <row r="18" spans="1:9" ht="14.5" x14ac:dyDescent="0.35">
      <c r="A18" s="15">
        <f>Datos_Raw!A18</f>
        <v>45352</v>
      </c>
      <c r="B18" s="16">
        <f t="shared" si="0"/>
        <v>2024</v>
      </c>
      <c r="C18" s="16" t="str">
        <f>Datos_Raw!B18</f>
        <v>Marzo 2024</v>
      </c>
      <c r="D18" s="16" t="str">
        <f>PROPER(TRIM(Datos_Raw!C18))</f>
        <v>Norte</v>
      </c>
      <c r="E18" s="16" t="str">
        <f>PROPER(TRIM(Datos_Raw!D18))</f>
        <v>Oficina</v>
      </c>
      <c r="F18" s="16">
        <f>IFERROR(VALUE(TRIM(Datos_Raw!E18)),0)</f>
        <v>22</v>
      </c>
      <c r="G18" s="17">
        <f>Datos_Raw!F18</f>
        <v>1100</v>
      </c>
      <c r="H18" s="17">
        <f t="shared" si="1"/>
        <v>24200</v>
      </c>
      <c r="I18" s="16" t="str">
        <f t="shared" si="2"/>
        <v>OK</v>
      </c>
    </row>
    <row r="19" spans="1:9" ht="14.5" x14ac:dyDescent="0.35">
      <c r="A19" s="15">
        <f>Datos_Raw!A19</f>
        <v>45352</v>
      </c>
      <c r="B19" s="16">
        <f t="shared" si="0"/>
        <v>2024</v>
      </c>
      <c r="C19" s="16" t="str">
        <f>Datos_Raw!B19</f>
        <v>Marzo 2024</v>
      </c>
      <c r="D19" s="16" t="str">
        <f>PROPER(TRIM(Datos_Raw!C19))</f>
        <v>Sur</v>
      </c>
      <c r="E19" s="16" t="str">
        <f>PROPER(TRIM(Datos_Raw!D19))</f>
        <v>Tecnologia</v>
      </c>
      <c r="F19" s="16">
        <f>IFERROR(VALUE(TRIM(Datos_Raw!E19)),0)</f>
        <v>16</v>
      </c>
      <c r="G19" s="17">
        <f>Datos_Raw!F19</f>
        <v>2600</v>
      </c>
      <c r="H19" s="17">
        <f t="shared" si="1"/>
        <v>41600</v>
      </c>
      <c r="I19" s="16" t="str">
        <f t="shared" si="2"/>
        <v>OK</v>
      </c>
    </row>
    <row r="20" spans="1:9" ht="14.5" x14ac:dyDescent="0.35">
      <c r="A20" s="15">
        <f>Datos_Raw!A20</f>
        <v>45352</v>
      </c>
      <c r="B20" s="16">
        <f t="shared" si="0"/>
        <v>2024</v>
      </c>
      <c r="C20" s="16" t="str">
        <f>Datos_Raw!B20</f>
        <v>Marzo 2024</v>
      </c>
      <c r="D20" s="16" t="str">
        <f>PROPER(TRIM(Datos_Raw!C20))</f>
        <v>Sur</v>
      </c>
      <c r="E20" s="16" t="str">
        <f>PROPER(TRIM(Datos_Raw!D20))</f>
        <v>Hogar</v>
      </c>
      <c r="F20" s="16">
        <f>IFERROR(VALUE(TRIM(Datos_Raw!E20)),0)</f>
        <v>20</v>
      </c>
      <c r="G20" s="17">
        <f>Datos_Raw!F20</f>
        <v>1500</v>
      </c>
      <c r="H20" s="17">
        <f t="shared" si="1"/>
        <v>30000</v>
      </c>
      <c r="I20" s="16" t="str">
        <f t="shared" si="2"/>
        <v>OK</v>
      </c>
    </row>
    <row r="21" spans="1:9" ht="14.5" x14ac:dyDescent="0.35">
      <c r="A21" s="15">
        <f>Datos_Raw!A21</f>
        <v>45352</v>
      </c>
      <c r="B21" s="16">
        <f t="shared" si="0"/>
        <v>2024</v>
      </c>
      <c r="C21" s="16" t="str">
        <f>Datos_Raw!B21</f>
        <v>Marzo 2024</v>
      </c>
      <c r="D21" s="16" t="str">
        <f>PROPER(TRIM(Datos_Raw!C21))</f>
        <v>Sur</v>
      </c>
      <c r="E21" s="16" t="str">
        <f>PROPER(TRIM(Datos_Raw!D21))</f>
        <v>Oficina</v>
      </c>
      <c r="F21" s="16">
        <f>IFERROR(VALUE(TRIM(Datos_Raw!E21)),0)</f>
        <v>18</v>
      </c>
      <c r="G21" s="17">
        <f>Datos_Raw!F21</f>
        <v>1100</v>
      </c>
      <c r="H21" s="17">
        <f t="shared" si="1"/>
        <v>19800</v>
      </c>
      <c r="I21" s="16" t="str">
        <f t="shared" si="2"/>
        <v>OK</v>
      </c>
    </row>
    <row r="22" spans="1:9" ht="14.5" x14ac:dyDescent="0.35">
      <c r="A22" s="15">
        <f>Datos_Raw!A22</f>
        <v>45383</v>
      </c>
      <c r="B22" s="16">
        <f t="shared" si="0"/>
        <v>2024</v>
      </c>
      <c r="C22" s="16" t="str">
        <f>Datos_Raw!B22</f>
        <v>Abril 2024</v>
      </c>
      <c r="D22" s="16" t="str">
        <f>PROPER(TRIM(Datos_Raw!C22))</f>
        <v>Norte</v>
      </c>
      <c r="E22" s="16" t="str">
        <f>PROPER(TRIM(Datos_Raw!D22))</f>
        <v>Tecnologia</v>
      </c>
      <c r="F22" s="16">
        <f>IFERROR(VALUE(TRIM(Datos_Raw!E22)),0)</f>
        <v>23</v>
      </c>
      <c r="G22" s="17">
        <f>Datos_Raw!F22</f>
        <v>2600</v>
      </c>
      <c r="H22" s="17">
        <f t="shared" si="1"/>
        <v>59800</v>
      </c>
      <c r="I22" s="16" t="str">
        <f t="shared" si="2"/>
        <v>OK</v>
      </c>
    </row>
    <row r="23" spans="1:9" ht="14.5" x14ac:dyDescent="0.35">
      <c r="A23" s="15">
        <f>Datos_Raw!A23</f>
        <v>45383</v>
      </c>
      <c r="B23" s="16">
        <f t="shared" si="0"/>
        <v>2024</v>
      </c>
      <c r="C23" s="16" t="str">
        <f>Datos_Raw!B23</f>
        <v>Abril 2024</v>
      </c>
      <c r="D23" s="16" t="str">
        <f>PROPER(TRIM(Datos_Raw!C23))</f>
        <v>Norte</v>
      </c>
      <c r="E23" s="16" t="str">
        <f>PROPER(TRIM(Datos_Raw!D23))</f>
        <v>Hogar</v>
      </c>
      <c r="F23" s="16">
        <f>IFERROR(VALUE(TRIM(Datos_Raw!E23)),0)</f>
        <v>27</v>
      </c>
      <c r="G23" s="17">
        <f>Datos_Raw!F23</f>
        <v>1500</v>
      </c>
      <c r="H23" s="17">
        <f t="shared" si="1"/>
        <v>40500</v>
      </c>
      <c r="I23" s="16" t="str">
        <f t="shared" si="2"/>
        <v>OK</v>
      </c>
    </row>
    <row r="24" spans="1:9" ht="14.5" x14ac:dyDescent="0.35">
      <c r="A24" s="15">
        <f>Datos_Raw!A24</f>
        <v>45383</v>
      </c>
      <c r="B24" s="16">
        <f t="shared" si="0"/>
        <v>2024</v>
      </c>
      <c r="C24" s="16" t="str">
        <f>Datos_Raw!B24</f>
        <v>Abril 2024</v>
      </c>
      <c r="D24" s="16" t="str">
        <f>PROPER(TRIM(Datos_Raw!C24))</f>
        <v>Norte</v>
      </c>
      <c r="E24" s="16" t="str">
        <f>PROPER(TRIM(Datos_Raw!D24))</f>
        <v>Oficina</v>
      </c>
      <c r="F24" s="16">
        <f>IFERROR(VALUE(TRIM(Datos_Raw!E24)),0)</f>
        <v>25</v>
      </c>
      <c r="G24" s="17">
        <f>Datos_Raw!F24</f>
        <v>1100</v>
      </c>
      <c r="H24" s="17">
        <f t="shared" si="1"/>
        <v>27500</v>
      </c>
      <c r="I24" s="16" t="str">
        <f t="shared" si="2"/>
        <v>OK</v>
      </c>
    </row>
    <row r="25" spans="1:9" ht="14.5" x14ac:dyDescent="0.35">
      <c r="A25" s="15">
        <f>Datos_Raw!A25</f>
        <v>45383</v>
      </c>
      <c r="B25" s="16">
        <f t="shared" si="0"/>
        <v>2024</v>
      </c>
      <c r="C25" s="16" t="str">
        <f>Datos_Raw!B25</f>
        <v>Abril 2024</v>
      </c>
      <c r="D25" s="16" t="str">
        <f>PROPER(TRIM(Datos_Raw!C25))</f>
        <v>Sur</v>
      </c>
      <c r="E25" s="16" t="str">
        <f>PROPER(TRIM(Datos_Raw!D25))</f>
        <v>Tecnologia</v>
      </c>
      <c r="F25" s="16">
        <f>IFERROR(VALUE(TRIM(Datos_Raw!E25)),0)</f>
        <v>19</v>
      </c>
      <c r="G25" s="17">
        <f>Datos_Raw!F25</f>
        <v>2600</v>
      </c>
      <c r="H25" s="17">
        <f t="shared" si="1"/>
        <v>49400</v>
      </c>
      <c r="I25" s="16" t="str">
        <f t="shared" si="2"/>
        <v>OK</v>
      </c>
    </row>
    <row r="26" spans="1:9" ht="14.5" x14ac:dyDescent="0.35">
      <c r="A26" s="15">
        <f>Datos_Raw!A26</f>
        <v>45383</v>
      </c>
      <c r="B26" s="16">
        <f t="shared" si="0"/>
        <v>2024</v>
      </c>
      <c r="C26" s="16" t="str">
        <f>Datos_Raw!B26</f>
        <v>Abril 2024</v>
      </c>
      <c r="D26" s="16" t="str">
        <f>PROPER(TRIM(Datos_Raw!C26))</f>
        <v>Sur</v>
      </c>
      <c r="E26" s="16" t="str">
        <f>PROPER(TRIM(Datos_Raw!D26))</f>
        <v>Hogar</v>
      </c>
      <c r="F26" s="16">
        <f>IFERROR(VALUE(TRIM(Datos_Raw!E26)),0)</f>
        <v>23</v>
      </c>
      <c r="G26" s="17">
        <f>Datos_Raw!F26</f>
        <v>1500</v>
      </c>
      <c r="H26" s="17">
        <f t="shared" si="1"/>
        <v>34500</v>
      </c>
      <c r="I26" s="16" t="str">
        <f t="shared" si="2"/>
        <v>OK</v>
      </c>
    </row>
    <row r="27" spans="1:9" ht="14.5" x14ac:dyDescent="0.35">
      <c r="A27" s="15">
        <f>Datos_Raw!A27</f>
        <v>45383</v>
      </c>
      <c r="B27" s="16">
        <f t="shared" si="0"/>
        <v>2024</v>
      </c>
      <c r="C27" s="16" t="str">
        <f>Datos_Raw!B27</f>
        <v>Abril 2024</v>
      </c>
      <c r="D27" s="16" t="str">
        <f>PROPER(TRIM(Datos_Raw!C27))</f>
        <v>Sur</v>
      </c>
      <c r="E27" s="16" t="str">
        <f>PROPER(TRIM(Datos_Raw!D27))</f>
        <v>Oficina</v>
      </c>
      <c r="F27" s="16">
        <f>IFERROR(VALUE(TRIM(Datos_Raw!E27)),0)</f>
        <v>21</v>
      </c>
      <c r="G27" s="17">
        <f>Datos_Raw!F27</f>
        <v>1100</v>
      </c>
      <c r="H27" s="17">
        <f t="shared" si="1"/>
        <v>23100</v>
      </c>
      <c r="I27" s="16" t="str">
        <f t="shared" si="2"/>
        <v>OK</v>
      </c>
    </row>
    <row r="28" spans="1:9" ht="14.5" x14ac:dyDescent="0.35">
      <c r="A28" s="15">
        <f>Datos_Raw!A28</f>
        <v>45413</v>
      </c>
      <c r="B28" s="16">
        <f t="shared" si="0"/>
        <v>2024</v>
      </c>
      <c r="C28" s="16" t="str">
        <f>Datos_Raw!B28</f>
        <v>Mayo 2024</v>
      </c>
      <c r="D28" s="16" t="str">
        <f>PROPER(TRIM(Datos_Raw!C28))</f>
        <v>Norte</v>
      </c>
      <c r="E28" s="16" t="str">
        <f>PROPER(TRIM(Datos_Raw!D28))</f>
        <v>Tecnologia</v>
      </c>
      <c r="F28" s="16">
        <f>IFERROR(VALUE(TRIM(Datos_Raw!E28)),0)</f>
        <v>23</v>
      </c>
      <c r="G28" s="17">
        <f>Datos_Raw!F28</f>
        <v>2600</v>
      </c>
      <c r="H28" s="17">
        <f t="shared" si="1"/>
        <v>59800</v>
      </c>
      <c r="I28" s="16" t="str">
        <f t="shared" si="2"/>
        <v>OK</v>
      </c>
    </row>
    <row r="29" spans="1:9" ht="14.5" x14ac:dyDescent="0.35">
      <c r="A29" s="15">
        <f>Datos_Raw!A29</f>
        <v>45413</v>
      </c>
      <c r="B29" s="16">
        <f t="shared" si="0"/>
        <v>2024</v>
      </c>
      <c r="C29" s="16" t="str">
        <f>Datos_Raw!B29</f>
        <v>Mayo 2024</v>
      </c>
      <c r="D29" s="16" t="str">
        <f>PROPER(TRIM(Datos_Raw!C29))</f>
        <v>Norte</v>
      </c>
      <c r="E29" s="16" t="str">
        <f>PROPER(TRIM(Datos_Raw!D29))</f>
        <v>Hogar</v>
      </c>
      <c r="F29" s="16">
        <f>IFERROR(VALUE(TRIM(Datos_Raw!E29)),0)</f>
        <v>28</v>
      </c>
      <c r="G29" s="17">
        <f>Datos_Raw!F29</f>
        <v>1500</v>
      </c>
      <c r="H29" s="17">
        <f t="shared" si="1"/>
        <v>42000</v>
      </c>
      <c r="I29" s="16" t="str">
        <f t="shared" si="2"/>
        <v>OK</v>
      </c>
    </row>
    <row r="30" spans="1:9" ht="14.5" x14ac:dyDescent="0.35">
      <c r="A30" s="15">
        <f>Datos_Raw!A30</f>
        <v>45413</v>
      </c>
      <c r="B30" s="16">
        <f t="shared" si="0"/>
        <v>2024</v>
      </c>
      <c r="C30" s="16" t="str">
        <f>Datos_Raw!B30</f>
        <v>Mayo 2024</v>
      </c>
      <c r="D30" s="16" t="str">
        <f>PROPER(TRIM(Datos_Raw!C30))</f>
        <v>Norte</v>
      </c>
      <c r="E30" s="16" t="str">
        <f>PROPER(TRIM(Datos_Raw!D30))</f>
        <v>Oficina</v>
      </c>
      <c r="F30" s="16">
        <f>IFERROR(VALUE(TRIM(Datos_Raw!E30)),0)</f>
        <v>25</v>
      </c>
      <c r="G30" s="17">
        <f>Datos_Raw!F30</f>
        <v>1100</v>
      </c>
      <c r="H30" s="17">
        <f t="shared" si="1"/>
        <v>27500</v>
      </c>
      <c r="I30" s="16" t="str">
        <f t="shared" si="2"/>
        <v>OK</v>
      </c>
    </row>
    <row r="31" spans="1:9" ht="14.5" x14ac:dyDescent="0.35">
      <c r="A31" s="15">
        <f>Datos_Raw!A31</f>
        <v>45413</v>
      </c>
      <c r="B31" s="16">
        <f t="shared" si="0"/>
        <v>2024</v>
      </c>
      <c r="C31" s="16" t="str">
        <f>Datos_Raw!B31</f>
        <v>Mayo 2024</v>
      </c>
      <c r="D31" s="16" t="str">
        <f>PROPER(TRIM(Datos_Raw!C31))</f>
        <v>Sur</v>
      </c>
      <c r="E31" s="16" t="str">
        <f>PROPER(TRIM(Datos_Raw!D31))</f>
        <v>Tecnologia</v>
      </c>
      <c r="F31" s="16">
        <f>IFERROR(VALUE(TRIM(Datos_Raw!E31)),0)</f>
        <v>19</v>
      </c>
      <c r="G31" s="17">
        <f>Datos_Raw!F31</f>
        <v>2600</v>
      </c>
      <c r="H31" s="17">
        <f t="shared" si="1"/>
        <v>49400</v>
      </c>
      <c r="I31" s="16" t="str">
        <f t="shared" si="2"/>
        <v>OK</v>
      </c>
    </row>
    <row r="32" spans="1:9" ht="14.5" x14ac:dyDescent="0.35">
      <c r="A32" s="15">
        <f>Datos_Raw!A32</f>
        <v>45413</v>
      </c>
      <c r="B32" s="16">
        <f t="shared" si="0"/>
        <v>2024</v>
      </c>
      <c r="C32" s="16" t="str">
        <f>Datos_Raw!B32</f>
        <v>Mayo 2024</v>
      </c>
      <c r="D32" s="16" t="str">
        <f>PROPER(TRIM(Datos_Raw!C32))</f>
        <v>Sur</v>
      </c>
      <c r="E32" s="16" t="str">
        <f>PROPER(TRIM(Datos_Raw!D32))</f>
        <v>Hogar</v>
      </c>
      <c r="F32" s="16">
        <f>IFERROR(VALUE(TRIM(Datos_Raw!E32)),0)</f>
        <v>23</v>
      </c>
      <c r="G32" s="17">
        <f>Datos_Raw!F32</f>
        <v>1500</v>
      </c>
      <c r="H32" s="17">
        <f t="shared" si="1"/>
        <v>34500</v>
      </c>
      <c r="I32" s="16" t="str">
        <f t="shared" si="2"/>
        <v>OK</v>
      </c>
    </row>
    <row r="33" spans="1:9" ht="14.5" x14ac:dyDescent="0.35">
      <c r="A33" s="15">
        <f>Datos_Raw!A33</f>
        <v>45413</v>
      </c>
      <c r="B33" s="16">
        <f t="shared" si="0"/>
        <v>2024</v>
      </c>
      <c r="C33" s="16" t="str">
        <f>Datos_Raw!B33</f>
        <v>Mayo 2024</v>
      </c>
      <c r="D33" s="16" t="str">
        <f>PROPER(TRIM(Datos_Raw!C33))</f>
        <v>Sur</v>
      </c>
      <c r="E33" s="16" t="str">
        <f>PROPER(TRIM(Datos_Raw!D33))</f>
        <v>Oficina</v>
      </c>
      <c r="F33" s="16">
        <f>IFERROR(VALUE(TRIM(Datos_Raw!E33)),0)</f>
        <v>21</v>
      </c>
      <c r="G33" s="17">
        <f>Datos_Raw!F33</f>
        <v>1100</v>
      </c>
      <c r="H33" s="17">
        <f t="shared" si="1"/>
        <v>23100</v>
      </c>
      <c r="I33" s="16" t="str">
        <f t="shared" si="2"/>
        <v>OK</v>
      </c>
    </row>
    <row r="34" spans="1:9" ht="14.5" x14ac:dyDescent="0.35">
      <c r="A34" s="15">
        <f>Datos_Raw!A34</f>
        <v>45444</v>
      </c>
      <c r="B34" s="16">
        <f t="shared" si="0"/>
        <v>2024</v>
      </c>
      <c r="C34" s="16" t="str">
        <f>Datos_Raw!B34</f>
        <v>Junio 2024</v>
      </c>
      <c r="D34" s="16" t="str">
        <f>PROPER(TRIM(Datos_Raw!C34))</f>
        <v>Norte</v>
      </c>
      <c r="E34" s="16" t="str">
        <f>PROPER(TRIM(Datos_Raw!D34))</f>
        <v>Tecnologia</v>
      </c>
      <c r="F34" s="16">
        <f>IFERROR(VALUE(TRIM(Datos_Raw!E34)),0)</f>
        <v>27</v>
      </c>
      <c r="G34" s="17">
        <f>Datos_Raw!F34</f>
        <v>2600</v>
      </c>
      <c r="H34" s="17">
        <f t="shared" si="1"/>
        <v>70200</v>
      </c>
      <c r="I34" s="16" t="str">
        <f t="shared" si="2"/>
        <v>OK</v>
      </c>
    </row>
    <row r="35" spans="1:9" ht="14.5" x14ac:dyDescent="0.35">
      <c r="A35" s="15">
        <f>Datos_Raw!A35</f>
        <v>45444</v>
      </c>
      <c r="B35" s="16">
        <f t="shared" si="0"/>
        <v>2024</v>
      </c>
      <c r="C35" s="16" t="str">
        <f>Datos_Raw!B35</f>
        <v>Junio 2024</v>
      </c>
      <c r="D35" s="16" t="str">
        <f>PROPER(TRIM(Datos_Raw!C35))</f>
        <v>Norte</v>
      </c>
      <c r="E35" s="16" t="str">
        <f>PROPER(TRIM(Datos_Raw!D35))</f>
        <v>Hogar</v>
      </c>
      <c r="F35" s="16">
        <f>IFERROR(VALUE(TRIM(Datos_Raw!E35)),0)</f>
        <v>31</v>
      </c>
      <c r="G35" s="17">
        <f>Datos_Raw!F35</f>
        <v>1500</v>
      </c>
      <c r="H35" s="17">
        <f t="shared" si="1"/>
        <v>46500</v>
      </c>
      <c r="I35" s="16" t="str">
        <f t="shared" si="2"/>
        <v>OK</v>
      </c>
    </row>
    <row r="36" spans="1:9" ht="14.5" x14ac:dyDescent="0.35">
      <c r="A36" s="15">
        <f>Datos_Raw!A36</f>
        <v>45444</v>
      </c>
      <c r="B36" s="16">
        <f t="shared" ref="B36:B67" si="3">YEAR(A36)</f>
        <v>2024</v>
      </c>
      <c r="C36" s="16" t="str">
        <f>Datos_Raw!B36</f>
        <v>Junio 2024</v>
      </c>
      <c r="D36" s="16" t="str">
        <f>PROPER(TRIM(Datos_Raw!C36))</f>
        <v>Norte</v>
      </c>
      <c r="E36" s="16" t="str">
        <f>PROPER(TRIM(Datos_Raw!D36))</f>
        <v>Oficina</v>
      </c>
      <c r="F36" s="16">
        <f>IFERROR(VALUE(TRIM(Datos_Raw!E36)),0)</f>
        <v>29</v>
      </c>
      <c r="G36" s="17">
        <f>Datos_Raw!F36</f>
        <v>1100</v>
      </c>
      <c r="H36" s="17">
        <f t="shared" ref="H36:H67" si="4">F36*G36</f>
        <v>31900</v>
      </c>
      <c r="I36" s="16" t="str">
        <f t="shared" ref="I36:I67" si="5">IF(OR(D36="",E36="",F36&lt;=0,G36&lt;=0),"Revisar","OK")</f>
        <v>OK</v>
      </c>
    </row>
    <row r="37" spans="1:9" ht="14.5" x14ac:dyDescent="0.35">
      <c r="A37" s="15">
        <f>Datos_Raw!A37</f>
        <v>45444</v>
      </c>
      <c r="B37" s="16">
        <f t="shared" si="3"/>
        <v>2024</v>
      </c>
      <c r="C37" s="16" t="str">
        <f>Datos_Raw!B37</f>
        <v>Junio 2024</v>
      </c>
      <c r="D37" s="16" t="str">
        <f>PROPER(TRIM(Datos_Raw!C37))</f>
        <v>Sur</v>
      </c>
      <c r="E37" s="16" t="str">
        <f>PROPER(TRIM(Datos_Raw!D37))</f>
        <v>Tecnologia</v>
      </c>
      <c r="F37" s="16">
        <f>IFERROR(VALUE(TRIM(Datos_Raw!E37)),0)</f>
        <v>22</v>
      </c>
      <c r="G37" s="17">
        <f>Datos_Raw!F37</f>
        <v>2600</v>
      </c>
      <c r="H37" s="17">
        <f t="shared" si="4"/>
        <v>57200</v>
      </c>
      <c r="I37" s="16" t="str">
        <f t="shared" si="5"/>
        <v>OK</v>
      </c>
    </row>
    <row r="38" spans="1:9" ht="14.5" x14ac:dyDescent="0.35">
      <c r="A38" s="15">
        <f>Datos_Raw!A38</f>
        <v>45444</v>
      </c>
      <c r="B38" s="16">
        <f t="shared" si="3"/>
        <v>2024</v>
      </c>
      <c r="C38" s="16" t="str">
        <f>Datos_Raw!B38</f>
        <v>Junio 2024</v>
      </c>
      <c r="D38" s="16" t="str">
        <f>PROPER(TRIM(Datos_Raw!C38))</f>
        <v>Sur</v>
      </c>
      <c r="E38" s="16" t="str">
        <f>PROPER(TRIM(Datos_Raw!D38))</f>
        <v>Hogar</v>
      </c>
      <c r="F38" s="16">
        <f>IFERROR(VALUE(TRIM(Datos_Raw!E38)),0)</f>
        <v>26</v>
      </c>
      <c r="G38" s="17">
        <f>Datos_Raw!F38</f>
        <v>1500</v>
      </c>
      <c r="H38" s="17">
        <f t="shared" si="4"/>
        <v>39000</v>
      </c>
      <c r="I38" s="16" t="str">
        <f t="shared" si="5"/>
        <v>OK</v>
      </c>
    </row>
    <row r="39" spans="1:9" ht="14.5" x14ac:dyDescent="0.35">
      <c r="A39" s="15">
        <f>Datos_Raw!A39</f>
        <v>45444</v>
      </c>
      <c r="B39" s="16">
        <f t="shared" si="3"/>
        <v>2024</v>
      </c>
      <c r="C39" s="16" t="str">
        <f>Datos_Raw!B39</f>
        <v>Junio 2024</v>
      </c>
      <c r="D39" s="16" t="str">
        <f>PROPER(TRIM(Datos_Raw!C39))</f>
        <v>Sur</v>
      </c>
      <c r="E39" s="16" t="str">
        <f>PROPER(TRIM(Datos_Raw!D39))</f>
        <v>Oficina</v>
      </c>
      <c r="F39" s="16">
        <f>IFERROR(VALUE(TRIM(Datos_Raw!E39)),0)</f>
        <v>24</v>
      </c>
      <c r="G39" s="17">
        <f>Datos_Raw!F39</f>
        <v>1100</v>
      </c>
      <c r="H39" s="17">
        <f t="shared" si="4"/>
        <v>26400</v>
      </c>
      <c r="I39" s="16" t="str">
        <f t="shared" si="5"/>
        <v>OK</v>
      </c>
    </row>
    <row r="40" spans="1:9" ht="14.5" x14ac:dyDescent="0.35">
      <c r="A40" s="15">
        <f>Datos_Raw!A40</f>
        <v>45474</v>
      </c>
      <c r="B40" s="16">
        <f t="shared" si="3"/>
        <v>2024</v>
      </c>
      <c r="C40" s="16" t="str">
        <f>Datos_Raw!B40</f>
        <v>Julio 2024</v>
      </c>
      <c r="D40" s="16" t="str">
        <f>PROPER(TRIM(Datos_Raw!C40))</f>
        <v>Norte</v>
      </c>
      <c r="E40" s="16" t="str">
        <f>PROPER(TRIM(Datos_Raw!D40))</f>
        <v>Tecnologia</v>
      </c>
      <c r="F40" s="16">
        <f>IFERROR(VALUE(TRIM(Datos_Raw!E40)),0)</f>
        <v>27</v>
      </c>
      <c r="G40" s="17">
        <f>Datos_Raw!F40</f>
        <v>2600</v>
      </c>
      <c r="H40" s="17">
        <f t="shared" si="4"/>
        <v>70200</v>
      </c>
      <c r="I40" s="16" t="str">
        <f t="shared" si="5"/>
        <v>OK</v>
      </c>
    </row>
    <row r="41" spans="1:9" ht="14.5" x14ac:dyDescent="0.35">
      <c r="A41" s="15">
        <f>Datos_Raw!A41</f>
        <v>45474</v>
      </c>
      <c r="B41" s="16">
        <f t="shared" si="3"/>
        <v>2024</v>
      </c>
      <c r="C41" s="16" t="str">
        <f>Datos_Raw!B41</f>
        <v>Julio 2024</v>
      </c>
      <c r="D41" s="16" t="str">
        <f>PROPER(TRIM(Datos_Raw!C41))</f>
        <v>Norte</v>
      </c>
      <c r="E41" s="16" t="str">
        <f>PROPER(TRIM(Datos_Raw!D41))</f>
        <v>Hogar</v>
      </c>
      <c r="F41" s="16">
        <f>IFERROR(VALUE(TRIM(Datos_Raw!E41)),0)</f>
        <v>31</v>
      </c>
      <c r="G41" s="17">
        <f>Datos_Raw!F41</f>
        <v>1500</v>
      </c>
      <c r="H41" s="17">
        <f t="shared" si="4"/>
        <v>46500</v>
      </c>
      <c r="I41" s="16" t="str">
        <f t="shared" si="5"/>
        <v>OK</v>
      </c>
    </row>
    <row r="42" spans="1:9" ht="14.5" x14ac:dyDescent="0.35">
      <c r="A42" s="15">
        <f>Datos_Raw!A42</f>
        <v>45474</v>
      </c>
      <c r="B42" s="16">
        <f t="shared" si="3"/>
        <v>2024</v>
      </c>
      <c r="C42" s="16" t="str">
        <f>Datos_Raw!B42</f>
        <v>Julio 2024</v>
      </c>
      <c r="D42" s="16" t="str">
        <f>PROPER(TRIM(Datos_Raw!C42))</f>
        <v>Norte</v>
      </c>
      <c r="E42" s="16" t="str">
        <f>PROPER(TRIM(Datos_Raw!D42))</f>
        <v>Oficina</v>
      </c>
      <c r="F42" s="16">
        <f>IFERROR(VALUE(TRIM(Datos_Raw!E42)),0)</f>
        <v>29</v>
      </c>
      <c r="G42" s="17">
        <f>Datos_Raw!F42</f>
        <v>1100</v>
      </c>
      <c r="H42" s="17">
        <f t="shared" si="4"/>
        <v>31900</v>
      </c>
      <c r="I42" s="16" t="str">
        <f t="shared" si="5"/>
        <v>OK</v>
      </c>
    </row>
    <row r="43" spans="1:9" ht="14.5" x14ac:dyDescent="0.35">
      <c r="A43" s="15">
        <f>Datos_Raw!A43</f>
        <v>45474</v>
      </c>
      <c r="B43" s="16">
        <f t="shared" si="3"/>
        <v>2024</v>
      </c>
      <c r="C43" s="16" t="str">
        <f>Datos_Raw!B43</f>
        <v>Julio 2024</v>
      </c>
      <c r="D43" s="16" t="str">
        <f>PROPER(TRIM(Datos_Raw!C43))</f>
        <v>Sur</v>
      </c>
      <c r="E43" s="16" t="str">
        <f>PROPER(TRIM(Datos_Raw!D43))</f>
        <v>Tecnologia</v>
      </c>
      <c r="F43" s="16">
        <f>IFERROR(VALUE(TRIM(Datos_Raw!E43)),0)</f>
        <v>22</v>
      </c>
      <c r="G43" s="17">
        <f>Datos_Raw!F43</f>
        <v>2600</v>
      </c>
      <c r="H43" s="17">
        <f t="shared" si="4"/>
        <v>57200</v>
      </c>
      <c r="I43" s="16" t="str">
        <f t="shared" si="5"/>
        <v>OK</v>
      </c>
    </row>
    <row r="44" spans="1:9" ht="14.5" x14ac:dyDescent="0.35">
      <c r="A44" s="15">
        <f>Datos_Raw!A44</f>
        <v>45474</v>
      </c>
      <c r="B44" s="16">
        <f t="shared" si="3"/>
        <v>2024</v>
      </c>
      <c r="C44" s="16" t="str">
        <f>Datos_Raw!B44</f>
        <v>Julio 2024</v>
      </c>
      <c r="D44" s="16" t="str">
        <f>PROPER(TRIM(Datos_Raw!C44))</f>
        <v>Sur</v>
      </c>
      <c r="E44" s="16" t="str">
        <f>PROPER(TRIM(Datos_Raw!D44))</f>
        <v>Hogar</v>
      </c>
      <c r="F44" s="16">
        <f>IFERROR(VALUE(TRIM(Datos_Raw!E44)),0)</f>
        <v>26</v>
      </c>
      <c r="G44" s="17">
        <f>Datos_Raw!F44</f>
        <v>1500</v>
      </c>
      <c r="H44" s="17">
        <f t="shared" si="4"/>
        <v>39000</v>
      </c>
      <c r="I44" s="16" t="str">
        <f t="shared" si="5"/>
        <v>OK</v>
      </c>
    </row>
    <row r="45" spans="1:9" ht="14.5" x14ac:dyDescent="0.35">
      <c r="A45" s="15">
        <f>Datos_Raw!A45</f>
        <v>45474</v>
      </c>
      <c r="B45" s="16">
        <f t="shared" si="3"/>
        <v>2024</v>
      </c>
      <c r="C45" s="16" t="str">
        <f>Datos_Raw!B45</f>
        <v>Julio 2024</v>
      </c>
      <c r="D45" s="16" t="str">
        <f>PROPER(TRIM(Datos_Raw!C45))</f>
        <v>Sur</v>
      </c>
      <c r="E45" s="16" t="str">
        <f>PROPER(TRIM(Datos_Raw!D45))</f>
        <v>Oficina</v>
      </c>
      <c r="F45" s="16">
        <f>IFERROR(VALUE(TRIM(Datos_Raw!E45)),0)</f>
        <v>24</v>
      </c>
      <c r="G45" s="17">
        <f>Datos_Raw!F45</f>
        <v>1100</v>
      </c>
      <c r="H45" s="17">
        <f t="shared" si="4"/>
        <v>26400</v>
      </c>
      <c r="I45" s="16" t="str">
        <f t="shared" si="5"/>
        <v>OK</v>
      </c>
    </row>
    <row r="46" spans="1:9" ht="14.5" x14ac:dyDescent="0.35">
      <c r="A46" s="15">
        <f>Datos_Raw!A46</f>
        <v>45505</v>
      </c>
      <c r="B46" s="16">
        <f t="shared" si="3"/>
        <v>2024</v>
      </c>
      <c r="C46" s="16" t="str">
        <f>Datos_Raw!B46</f>
        <v>Agosto 2024</v>
      </c>
      <c r="D46" s="16" t="str">
        <f>PROPER(TRIM(Datos_Raw!C46))</f>
        <v>Norte</v>
      </c>
      <c r="E46" s="16" t="str">
        <f>PROPER(TRIM(Datos_Raw!D46))</f>
        <v>Tecnologia</v>
      </c>
      <c r="F46" s="16">
        <f>IFERROR(VALUE(TRIM(Datos_Raw!E46)),0)</f>
        <v>30</v>
      </c>
      <c r="G46" s="17">
        <f>Datos_Raw!F46</f>
        <v>2600</v>
      </c>
      <c r="H46" s="17">
        <f t="shared" si="4"/>
        <v>78000</v>
      </c>
      <c r="I46" s="16" t="str">
        <f t="shared" si="5"/>
        <v>OK</v>
      </c>
    </row>
    <row r="47" spans="1:9" ht="14.5" x14ac:dyDescent="0.35">
      <c r="A47" s="15">
        <f>Datos_Raw!A47</f>
        <v>45505</v>
      </c>
      <c r="B47" s="16">
        <f t="shared" si="3"/>
        <v>2024</v>
      </c>
      <c r="C47" s="16" t="str">
        <f>Datos_Raw!B47</f>
        <v>Agosto 2024</v>
      </c>
      <c r="D47" s="16" t="str">
        <f>PROPER(TRIM(Datos_Raw!C47))</f>
        <v>Norte</v>
      </c>
      <c r="E47" s="16" t="str">
        <f>PROPER(TRIM(Datos_Raw!D47))</f>
        <v>Hogar</v>
      </c>
      <c r="F47" s="16">
        <f>IFERROR(VALUE(TRIM(Datos_Raw!E47)),0)</f>
        <v>35</v>
      </c>
      <c r="G47" s="17">
        <f>Datos_Raw!F47</f>
        <v>1500</v>
      </c>
      <c r="H47" s="17">
        <f t="shared" si="4"/>
        <v>52500</v>
      </c>
      <c r="I47" s="16" t="str">
        <f t="shared" si="5"/>
        <v>OK</v>
      </c>
    </row>
    <row r="48" spans="1:9" ht="14.5" x14ac:dyDescent="0.35">
      <c r="A48" s="15">
        <f>Datos_Raw!A48</f>
        <v>45505</v>
      </c>
      <c r="B48" s="16">
        <f t="shared" si="3"/>
        <v>2024</v>
      </c>
      <c r="C48" s="16" t="str">
        <f>Datos_Raw!B48</f>
        <v>Agosto 2024</v>
      </c>
      <c r="D48" s="16" t="str">
        <f>PROPER(TRIM(Datos_Raw!C48))</f>
        <v>Norte</v>
      </c>
      <c r="E48" s="16" t="str">
        <f>PROPER(TRIM(Datos_Raw!D48))</f>
        <v>Oficina</v>
      </c>
      <c r="F48" s="16">
        <f>IFERROR(VALUE(TRIM(Datos_Raw!E48)),0)</f>
        <v>33</v>
      </c>
      <c r="G48" s="17">
        <f>Datos_Raw!F48</f>
        <v>1100</v>
      </c>
      <c r="H48" s="17">
        <f t="shared" si="4"/>
        <v>36300</v>
      </c>
      <c r="I48" s="16" t="str">
        <f t="shared" si="5"/>
        <v>OK</v>
      </c>
    </row>
    <row r="49" spans="1:9" ht="14.5" x14ac:dyDescent="0.35">
      <c r="A49" s="15">
        <f>Datos_Raw!A49</f>
        <v>45505</v>
      </c>
      <c r="B49" s="16">
        <f t="shared" si="3"/>
        <v>2024</v>
      </c>
      <c r="C49" s="16" t="str">
        <f>Datos_Raw!B49</f>
        <v>Agosto 2024</v>
      </c>
      <c r="D49" s="16" t="str">
        <f>PROPER(TRIM(Datos_Raw!C49))</f>
        <v>Sur</v>
      </c>
      <c r="E49" s="16" t="str">
        <f>PROPER(TRIM(Datos_Raw!D49))</f>
        <v>Tecnologia</v>
      </c>
      <c r="F49" s="16">
        <f>IFERROR(VALUE(TRIM(Datos_Raw!E49)),0)</f>
        <v>25</v>
      </c>
      <c r="G49" s="17">
        <f>Datos_Raw!F49</f>
        <v>2600</v>
      </c>
      <c r="H49" s="17">
        <f t="shared" si="4"/>
        <v>65000</v>
      </c>
      <c r="I49" s="16" t="str">
        <f t="shared" si="5"/>
        <v>OK</v>
      </c>
    </row>
    <row r="50" spans="1:9" ht="14.5" x14ac:dyDescent="0.35">
      <c r="A50" s="15">
        <f>Datos_Raw!A50</f>
        <v>45505</v>
      </c>
      <c r="B50" s="16">
        <f t="shared" si="3"/>
        <v>2024</v>
      </c>
      <c r="C50" s="16" t="str">
        <f>Datos_Raw!B50</f>
        <v>Agosto 2024</v>
      </c>
      <c r="D50" s="16" t="str">
        <f>PROPER(TRIM(Datos_Raw!C50))</f>
        <v>Sur</v>
      </c>
      <c r="E50" s="16" t="str">
        <f>PROPER(TRIM(Datos_Raw!D50))</f>
        <v>Hogar</v>
      </c>
      <c r="F50" s="16">
        <f>IFERROR(VALUE(TRIM(Datos_Raw!E50)),0)</f>
        <v>29</v>
      </c>
      <c r="G50" s="17">
        <f>Datos_Raw!F50</f>
        <v>1500</v>
      </c>
      <c r="H50" s="17">
        <f t="shared" si="4"/>
        <v>43500</v>
      </c>
      <c r="I50" s="16" t="str">
        <f t="shared" si="5"/>
        <v>OK</v>
      </c>
    </row>
    <row r="51" spans="1:9" ht="14.5" x14ac:dyDescent="0.35">
      <c r="A51" s="15">
        <f>Datos_Raw!A51</f>
        <v>45505</v>
      </c>
      <c r="B51" s="16">
        <f t="shared" si="3"/>
        <v>2024</v>
      </c>
      <c r="C51" s="16" t="str">
        <f>Datos_Raw!B51</f>
        <v>Agosto 2024</v>
      </c>
      <c r="D51" s="16" t="str">
        <f>PROPER(TRIM(Datos_Raw!C51))</f>
        <v>Sur</v>
      </c>
      <c r="E51" s="16" t="str">
        <f>PROPER(TRIM(Datos_Raw!D51))</f>
        <v>Oficina</v>
      </c>
      <c r="F51" s="16">
        <f>IFERROR(VALUE(TRIM(Datos_Raw!E51)),0)</f>
        <v>27</v>
      </c>
      <c r="G51" s="17">
        <f>Datos_Raw!F51</f>
        <v>1100</v>
      </c>
      <c r="H51" s="17">
        <f t="shared" si="4"/>
        <v>29700</v>
      </c>
      <c r="I51" s="16" t="str">
        <f t="shared" si="5"/>
        <v>OK</v>
      </c>
    </row>
    <row r="52" spans="1:9" ht="14.5" x14ac:dyDescent="0.35">
      <c r="A52" s="15">
        <f>Datos_Raw!A52</f>
        <v>45536</v>
      </c>
      <c r="B52" s="16">
        <f t="shared" si="3"/>
        <v>2024</v>
      </c>
      <c r="C52" s="16" t="str">
        <f>Datos_Raw!B52</f>
        <v>Septiembre 2024</v>
      </c>
      <c r="D52" s="16" t="str">
        <f>PROPER(TRIM(Datos_Raw!C52))</f>
        <v>Norte</v>
      </c>
      <c r="E52" s="16" t="str">
        <f>PROPER(TRIM(Datos_Raw!D52))</f>
        <v>Tecnologia</v>
      </c>
      <c r="F52" s="16">
        <f>IFERROR(VALUE(TRIM(Datos_Raw!E52)),0)</f>
        <v>31</v>
      </c>
      <c r="G52" s="17">
        <f>Datos_Raw!F52</f>
        <v>2600</v>
      </c>
      <c r="H52" s="17">
        <f t="shared" si="4"/>
        <v>80600</v>
      </c>
      <c r="I52" s="16" t="str">
        <f t="shared" si="5"/>
        <v>OK</v>
      </c>
    </row>
    <row r="53" spans="1:9" ht="14.5" x14ac:dyDescent="0.35">
      <c r="A53" s="15">
        <f>Datos_Raw!A53</f>
        <v>45536</v>
      </c>
      <c r="B53" s="16">
        <f t="shared" si="3"/>
        <v>2024</v>
      </c>
      <c r="C53" s="16" t="str">
        <f>Datos_Raw!B53</f>
        <v>Septiembre 2024</v>
      </c>
      <c r="D53" s="16" t="str">
        <f>PROPER(TRIM(Datos_Raw!C53))</f>
        <v>Norte</v>
      </c>
      <c r="E53" s="16" t="str">
        <f>PROPER(TRIM(Datos_Raw!D53))</f>
        <v>Hogar</v>
      </c>
      <c r="F53" s="16">
        <f>IFERROR(VALUE(TRIM(Datos_Raw!E53)),0)</f>
        <v>35</v>
      </c>
      <c r="G53" s="17">
        <f>Datos_Raw!F53</f>
        <v>1500</v>
      </c>
      <c r="H53" s="17">
        <f t="shared" si="4"/>
        <v>52500</v>
      </c>
      <c r="I53" s="16" t="str">
        <f t="shared" si="5"/>
        <v>OK</v>
      </c>
    </row>
    <row r="54" spans="1:9" ht="14.5" x14ac:dyDescent="0.35">
      <c r="A54" s="15">
        <f>Datos_Raw!A54</f>
        <v>45536</v>
      </c>
      <c r="B54" s="16">
        <f t="shared" si="3"/>
        <v>2024</v>
      </c>
      <c r="C54" s="16" t="str">
        <f>Datos_Raw!B54</f>
        <v>Septiembre 2024</v>
      </c>
      <c r="D54" s="16" t="str">
        <f>PROPER(TRIM(Datos_Raw!C54))</f>
        <v>Norte</v>
      </c>
      <c r="E54" s="16" t="str">
        <f>PROPER(TRIM(Datos_Raw!D54))</f>
        <v>Oficina</v>
      </c>
      <c r="F54" s="16">
        <f>IFERROR(VALUE(TRIM(Datos_Raw!E54)),0)</f>
        <v>33</v>
      </c>
      <c r="G54" s="17">
        <f>Datos_Raw!F54</f>
        <v>1100</v>
      </c>
      <c r="H54" s="17">
        <f t="shared" si="4"/>
        <v>36300</v>
      </c>
      <c r="I54" s="16" t="str">
        <f t="shared" si="5"/>
        <v>OK</v>
      </c>
    </row>
    <row r="55" spans="1:9" ht="14.5" x14ac:dyDescent="0.35">
      <c r="A55" s="15">
        <f>Datos_Raw!A55</f>
        <v>45536</v>
      </c>
      <c r="B55" s="16">
        <f t="shared" si="3"/>
        <v>2024</v>
      </c>
      <c r="C55" s="16" t="str">
        <f>Datos_Raw!B55</f>
        <v>Septiembre 2024</v>
      </c>
      <c r="D55" s="16" t="str">
        <f>PROPER(TRIM(Datos_Raw!C55))</f>
        <v>Sur</v>
      </c>
      <c r="E55" s="16" t="str">
        <f>PROPER(TRIM(Datos_Raw!D55))</f>
        <v>Tecnologia</v>
      </c>
      <c r="F55" s="16">
        <f>IFERROR(VALUE(TRIM(Datos_Raw!E55)),0)</f>
        <v>26</v>
      </c>
      <c r="G55" s="17">
        <f>Datos_Raw!F55</f>
        <v>2600</v>
      </c>
      <c r="H55" s="17">
        <f t="shared" si="4"/>
        <v>67600</v>
      </c>
      <c r="I55" s="16" t="str">
        <f t="shared" si="5"/>
        <v>OK</v>
      </c>
    </row>
    <row r="56" spans="1:9" ht="14.5" x14ac:dyDescent="0.35">
      <c r="A56" s="15">
        <f>Datos_Raw!A56</f>
        <v>45536</v>
      </c>
      <c r="B56" s="16">
        <f t="shared" si="3"/>
        <v>2024</v>
      </c>
      <c r="C56" s="16" t="str">
        <f>Datos_Raw!B56</f>
        <v>Septiembre 2024</v>
      </c>
      <c r="D56" s="16" t="str">
        <f>PROPER(TRIM(Datos_Raw!C56))</f>
        <v>Sur</v>
      </c>
      <c r="E56" s="16" t="str">
        <f>PROPER(TRIM(Datos_Raw!D56))</f>
        <v>Hogar</v>
      </c>
      <c r="F56" s="16">
        <f>IFERROR(VALUE(TRIM(Datos_Raw!E56)),0)</f>
        <v>29</v>
      </c>
      <c r="G56" s="17">
        <f>Datos_Raw!F56</f>
        <v>1500</v>
      </c>
      <c r="H56" s="17">
        <f t="shared" si="4"/>
        <v>43500</v>
      </c>
      <c r="I56" s="16" t="str">
        <f t="shared" si="5"/>
        <v>OK</v>
      </c>
    </row>
    <row r="57" spans="1:9" ht="14.5" x14ac:dyDescent="0.35">
      <c r="A57" s="15">
        <f>Datos_Raw!A57</f>
        <v>45536</v>
      </c>
      <c r="B57" s="16">
        <f t="shared" si="3"/>
        <v>2024</v>
      </c>
      <c r="C57" s="16" t="str">
        <f>Datos_Raw!B57</f>
        <v>Septiembre 2024</v>
      </c>
      <c r="D57" s="16" t="str">
        <f>PROPER(TRIM(Datos_Raw!C57))</f>
        <v>Sur</v>
      </c>
      <c r="E57" s="16" t="str">
        <f>PROPER(TRIM(Datos_Raw!D57))</f>
        <v>Oficina</v>
      </c>
      <c r="F57" s="16">
        <f>IFERROR(VALUE(TRIM(Datos_Raw!E57)),0)</f>
        <v>27</v>
      </c>
      <c r="G57" s="17">
        <f>Datos_Raw!F57</f>
        <v>1100</v>
      </c>
      <c r="H57" s="17">
        <f t="shared" si="4"/>
        <v>29700</v>
      </c>
      <c r="I57" s="16" t="str">
        <f t="shared" si="5"/>
        <v>OK</v>
      </c>
    </row>
    <row r="58" spans="1:9" ht="14.5" x14ac:dyDescent="0.35">
      <c r="A58" s="15">
        <f>Datos_Raw!A58</f>
        <v>45566</v>
      </c>
      <c r="B58" s="16">
        <f t="shared" si="3"/>
        <v>2024</v>
      </c>
      <c r="C58" s="16" t="str">
        <f>Datos_Raw!B58</f>
        <v>Octubre 2024</v>
      </c>
      <c r="D58" s="16" t="str">
        <f>PROPER(TRIM(Datos_Raw!C58))</f>
        <v>Norte</v>
      </c>
      <c r="E58" s="16" t="str">
        <f>PROPER(TRIM(Datos_Raw!D58))</f>
        <v>Tecnologia</v>
      </c>
      <c r="F58" s="16">
        <f>IFERROR(VALUE(TRIM(Datos_Raw!E58)),0)</f>
        <v>34</v>
      </c>
      <c r="G58" s="17">
        <f>Datos_Raw!F58</f>
        <v>2600</v>
      </c>
      <c r="H58" s="17">
        <f t="shared" si="4"/>
        <v>88400</v>
      </c>
      <c r="I58" s="16" t="str">
        <f t="shared" si="5"/>
        <v>OK</v>
      </c>
    </row>
    <row r="59" spans="1:9" ht="14.5" x14ac:dyDescent="0.35">
      <c r="A59" s="15">
        <f>Datos_Raw!A59</f>
        <v>45566</v>
      </c>
      <c r="B59" s="16">
        <f t="shared" si="3"/>
        <v>2024</v>
      </c>
      <c r="C59" s="16" t="str">
        <f>Datos_Raw!B59</f>
        <v>Octubre 2024</v>
      </c>
      <c r="D59" s="16" t="str">
        <f>PROPER(TRIM(Datos_Raw!C59))</f>
        <v>Norte</v>
      </c>
      <c r="E59" s="16" t="str">
        <f>PROPER(TRIM(Datos_Raw!D59))</f>
        <v>Hogar</v>
      </c>
      <c r="F59" s="16">
        <f>IFERROR(VALUE(TRIM(Datos_Raw!E59)),0)</f>
        <v>38</v>
      </c>
      <c r="G59" s="17">
        <f>Datos_Raw!F59</f>
        <v>1500</v>
      </c>
      <c r="H59" s="17">
        <f t="shared" si="4"/>
        <v>57000</v>
      </c>
      <c r="I59" s="16" t="str">
        <f t="shared" si="5"/>
        <v>OK</v>
      </c>
    </row>
    <row r="60" spans="1:9" ht="14.5" x14ac:dyDescent="0.35">
      <c r="A60" s="15">
        <f>Datos_Raw!A60</f>
        <v>45566</v>
      </c>
      <c r="B60" s="16">
        <f t="shared" si="3"/>
        <v>2024</v>
      </c>
      <c r="C60" s="16" t="str">
        <f>Datos_Raw!B60</f>
        <v>Octubre 2024</v>
      </c>
      <c r="D60" s="16" t="str">
        <f>PROPER(TRIM(Datos_Raw!C60))</f>
        <v>Norte</v>
      </c>
      <c r="E60" s="16" t="str">
        <f>PROPER(TRIM(Datos_Raw!D60))</f>
        <v>Oficina</v>
      </c>
      <c r="F60" s="16">
        <f>IFERROR(VALUE(TRIM(Datos_Raw!E60)),0)</f>
        <v>36</v>
      </c>
      <c r="G60" s="17">
        <f>Datos_Raw!F60</f>
        <v>1100</v>
      </c>
      <c r="H60" s="17">
        <f t="shared" si="4"/>
        <v>39600</v>
      </c>
      <c r="I60" s="16" t="str">
        <f t="shared" si="5"/>
        <v>OK</v>
      </c>
    </row>
    <row r="61" spans="1:9" ht="14.5" x14ac:dyDescent="0.35">
      <c r="A61" s="15">
        <f>Datos_Raw!A61</f>
        <v>45566</v>
      </c>
      <c r="B61" s="16">
        <f t="shared" si="3"/>
        <v>2024</v>
      </c>
      <c r="C61" s="16" t="str">
        <f>Datos_Raw!B61</f>
        <v>Octubre 2024</v>
      </c>
      <c r="D61" s="16" t="str">
        <f>PROPER(TRIM(Datos_Raw!C61))</f>
        <v>Sur</v>
      </c>
      <c r="E61" s="16" t="str">
        <f>PROPER(TRIM(Datos_Raw!D61))</f>
        <v>Tecnologia</v>
      </c>
      <c r="F61" s="16">
        <f>IFERROR(VALUE(TRIM(Datos_Raw!E61)),0)</f>
        <v>29</v>
      </c>
      <c r="G61" s="17">
        <f>Datos_Raw!F61</f>
        <v>2600</v>
      </c>
      <c r="H61" s="17">
        <f t="shared" si="4"/>
        <v>75400</v>
      </c>
      <c r="I61" s="16" t="str">
        <f t="shared" si="5"/>
        <v>OK</v>
      </c>
    </row>
    <row r="62" spans="1:9" ht="14.5" x14ac:dyDescent="0.35">
      <c r="A62" s="15">
        <f>Datos_Raw!A62</f>
        <v>45566</v>
      </c>
      <c r="B62" s="16">
        <f t="shared" si="3"/>
        <v>2024</v>
      </c>
      <c r="C62" s="16" t="str">
        <f>Datos_Raw!B62</f>
        <v>Octubre 2024</v>
      </c>
      <c r="D62" s="16" t="str">
        <f>PROPER(TRIM(Datos_Raw!C62))</f>
        <v>Sur</v>
      </c>
      <c r="E62" s="16" t="str">
        <f>PROPER(TRIM(Datos_Raw!D62))</f>
        <v>Hogar</v>
      </c>
      <c r="F62" s="16">
        <f>IFERROR(VALUE(TRIM(Datos_Raw!E62)),0)</f>
        <v>32</v>
      </c>
      <c r="G62" s="17">
        <f>Datos_Raw!F62</f>
        <v>1500</v>
      </c>
      <c r="H62" s="17">
        <f t="shared" si="4"/>
        <v>48000</v>
      </c>
      <c r="I62" s="16" t="str">
        <f t="shared" si="5"/>
        <v>OK</v>
      </c>
    </row>
    <row r="63" spans="1:9" ht="14.5" x14ac:dyDescent="0.35">
      <c r="A63" s="15">
        <f>Datos_Raw!A63</f>
        <v>45566</v>
      </c>
      <c r="B63" s="16">
        <f t="shared" si="3"/>
        <v>2024</v>
      </c>
      <c r="C63" s="16" t="str">
        <f>Datos_Raw!B63</f>
        <v>Octubre 2024</v>
      </c>
      <c r="D63" s="16" t="str">
        <f>PROPER(TRIM(Datos_Raw!C63))</f>
        <v>Sur</v>
      </c>
      <c r="E63" s="16" t="str">
        <f>PROPER(TRIM(Datos_Raw!D63))</f>
        <v>Oficina</v>
      </c>
      <c r="F63" s="16">
        <f>IFERROR(VALUE(TRIM(Datos_Raw!E63)),0)</f>
        <v>30</v>
      </c>
      <c r="G63" s="17">
        <f>Datos_Raw!F63</f>
        <v>1100</v>
      </c>
      <c r="H63" s="17">
        <f t="shared" si="4"/>
        <v>33000</v>
      </c>
      <c r="I63" s="16" t="str">
        <f t="shared" si="5"/>
        <v>OK</v>
      </c>
    </row>
    <row r="64" spans="1:9" ht="14.5" x14ac:dyDescent="0.35">
      <c r="A64" s="15">
        <f>Datos_Raw!A64</f>
        <v>45597</v>
      </c>
      <c r="B64" s="16">
        <f t="shared" si="3"/>
        <v>2024</v>
      </c>
      <c r="C64" s="16" t="str">
        <f>Datos_Raw!B64</f>
        <v>Noviembre 2024</v>
      </c>
      <c r="D64" s="16" t="str">
        <f>PROPER(TRIM(Datos_Raw!C64))</f>
        <v>Norte</v>
      </c>
      <c r="E64" s="16" t="str">
        <f>PROPER(TRIM(Datos_Raw!D64))</f>
        <v>Tecnologia</v>
      </c>
      <c r="F64" s="16">
        <f>IFERROR(VALUE(TRIM(Datos_Raw!E64)),0)</f>
        <v>34</v>
      </c>
      <c r="G64" s="17">
        <f>Datos_Raw!F64</f>
        <v>2600</v>
      </c>
      <c r="H64" s="17">
        <f t="shared" si="4"/>
        <v>88400</v>
      </c>
      <c r="I64" s="16" t="str">
        <f t="shared" si="5"/>
        <v>OK</v>
      </c>
    </row>
    <row r="65" spans="1:9" ht="14.5" x14ac:dyDescent="0.35">
      <c r="A65" s="15">
        <f>Datos_Raw!A65</f>
        <v>45597</v>
      </c>
      <c r="B65" s="16">
        <f t="shared" si="3"/>
        <v>2024</v>
      </c>
      <c r="C65" s="16" t="str">
        <f>Datos_Raw!B65</f>
        <v>Noviembre 2024</v>
      </c>
      <c r="D65" s="16" t="str">
        <f>PROPER(TRIM(Datos_Raw!C65))</f>
        <v>Norte</v>
      </c>
      <c r="E65" s="16" t="str">
        <f>PROPER(TRIM(Datos_Raw!D65))</f>
        <v>Hogar</v>
      </c>
      <c r="F65" s="16">
        <f>IFERROR(VALUE(TRIM(Datos_Raw!E65)),0)</f>
        <v>39</v>
      </c>
      <c r="G65" s="17">
        <f>Datos_Raw!F65</f>
        <v>1500</v>
      </c>
      <c r="H65" s="17">
        <f t="shared" si="4"/>
        <v>58500</v>
      </c>
      <c r="I65" s="16" t="str">
        <f t="shared" si="5"/>
        <v>OK</v>
      </c>
    </row>
    <row r="66" spans="1:9" ht="14.5" x14ac:dyDescent="0.35">
      <c r="A66" s="15">
        <f>Datos_Raw!A66</f>
        <v>45597</v>
      </c>
      <c r="B66" s="16">
        <f t="shared" si="3"/>
        <v>2024</v>
      </c>
      <c r="C66" s="16" t="str">
        <f>Datos_Raw!B66</f>
        <v>Noviembre 2024</v>
      </c>
      <c r="D66" s="16" t="str">
        <f>PROPER(TRIM(Datos_Raw!C66))</f>
        <v>Norte</v>
      </c>
      <c r="E66" s="16" t="str">
        <f>PROPER(TRIM(Datos_Raw!D66))</f>
        <v>Oficina</v>
      </c>
      <c r="F66" s="16">
        <f>IFERROR(VALUE(TRIM(Datos_Raw!E66)),0)</f>
        <v>37</v>
      </c>
      <c r="G66" s="17">
        <f>Datos_Raw!F66</f>
        <v>1100</v>
      </c>
      <c r="H66" s="17">
        <f t="shared" si="4"/>
        <v>40700</v>
      </c>
      <c r="I66" s="16" t="str">
        <f t="shared" si="5"/>
        <v>OK</v>
      </c>
    </row>
    <row r="67" spans="1:9" ht="14.5" x14ac:dyDescent="0.35">
      <c r="A67" s="15">
        <f>Datos_Raw!A67</f>
        <v>45597</v>
      </c>
      <c r="B67" s="16">
        <f t="shared" si="3"/>
        <v>2024</v>
      </c>
      <c r="C67" s="16" t="str">
        <f>Datos_Raw!B67</f>
        <v>Noviembre 2024</v>
      </c>
      <c r="D67" s="16" t="str">
        <f>PROPER(TRIM(Datos_Raw!C67))</f>
        <v>Sur</v>
      </c>
      <c r="E67" s="16" t="str">
        <f>PROPER(TRIM(Datos_Raw!D67))</f>
        <v>Tecnologia</v>
      </c>
      <c r="F67" s="16">
        <f>IFERROR(VALUE(TRIM(Datos_Raw!E67)),0)</f>
        <v>29</v>
      </c>
      <c r="G67" s="17">
        <f>Datos_Raw!F67</f>
        <v>2600</v>
      </c>
      <c r="H67" s="17">
        <f t="shared" si="4"/>
        <v>75400</v>
      </c>
      <c r="I67" s="16" t="str">
        <f t="shared" si="5"/>
        <v>OK</v>
      </c>
    </row>
    <row r="68" spans="1:9" ht="14.5" x14ac:dyDescent="0.35">
      <c r="A68" s="15">
        <f>Datos_Raw!A68</f>
        <v>45597</v>
      </c>
      <c r="B68" s="16">
        <f t="shared" ref="B68:B99" si="6">YEAR(A68)</f>
        <v>2024</v>
      </c>
      <c r="C68" s="16" t="str">
        <f>Datos_Raw!B68</f>
        <v>Noviembre 2024</v>
      </c>
      <c r="D68" s="16" t="str">
        <f>PROPER(TRIM(Datos_Raw!C68))</f>
        <v>Sur</v>
      </c>
      <c r="E68" s="16" t="str">
        <f>PROPER(TRIM(Datos_Raw!D68))</f>
        <v>Hogar</v>
      </c>
      <c r="F68" s="16">
        <f>IFERROR(VALUE(TRIM(Datos_Raw!E68)),0)</f>
        <v>32</v>
      </c>
      <c r="G68" s="17">
        <f>Datos_Raw!F68</f>
        <v>1500</v>
      </c>
      <c r="H68" s="17">
        <f t="shared" ref="H68:H99" si="7">F68*G68</f>
        <v>48000</v>
      </c>
      <c r="I68" s="16" t="str">
        <f t="shared" ref="I68:I75" si="8">IF(OR(D68="",E68="",F68&lt;=0,G68&lt;=0),"Revisar","OK")</f>
        <v>OK</v>
      </c>
    </row>
    <row r="69" spans="1:9" ht="14.5" x14ac:dyDescent="0.35">
      <c r="A69" s="15">
        <f>Datos_Raw!A69</f>
        <v>45597</v>
      </c>
      <c r="B69" s="16">
        <f t="shared" si="6"/>
        <v>2024</v>
      </c>
      <c r="C69" s="16" t="str">
        <f>Datos_Raw!B69</f>
        <v>Noviembre 2024</v>
      </c>
      <c r="D69" s="16" t="str">
        <f>PROPER(TRIM(Datos_Raw!C69))</f>
        <v>Sur</v>
      </c>
      <c r="E69" s="16" t="str">
        <f>PROPER(TRIM(Datos_Raw!D69))</f>
        <v>Oficina</v>
      </c>
      <c r="F69" s="16">
        <f>IFERROR(VALUE(TRIM(Datos_Raw!E69)),0)</f>
        <v>31</v>
      </c>
      <c r="G69" s="17">
        <f>Datos_Raw!F69</f>
        <v>1100</v>
      </c>
      <c r="H69" s="17">
        <f t="shared" si="7"/>
        <v>34100</v>
      </c>
      <c r="I69" s="16" t="str">
        <f t="shared" si="8"/>
        <v>OK</v>
      </c>
    </row>
    <row r="70" spans="1:9" ht="14.5" x14ac:dyDescent="0.35">
      <c r="A70" s="15">
        <f>Datos_Raw!A70</f>
        <v>45627</v>
      </c>
      <c r="B70" s="16">
        <f t="shared" si="6"/>
        <v>2024</v>
      </c>
      <c r="C70" s="16" t="str">
        <f>Datos_Raw!B70</f>
        <v>Diciembre 2024</v>
      </c>
      <c r="D70" s="16" t="str">
        <f>PROPER(TRIM(Datos_Raw!C70))</f>
        <v>Norte</v>
      </c>
      <c r="E70" s="16" t="str">
        <f>PROPER(TRIM(Datos_Raw!D70))</f>
        <v>Tecnologia</v>
      </c>
      <c r="F70" s="16">
        <f>IFERROR(VALUE(TRIM(Datos_Raw!E70)),0)</f>
        <v>38</v>
      </c>
      <c r="G70" s="17">
        <f>Datos_Raw!F70</f>
        <v>2600</v>
      </c>
      <c r="H70" s="17">
        <f t="shared" si="7"/>
        <v>98800</v>
      </c>
      <c r="I70" s="16" t="str">
        <f t="shared" si="8"/>
        <v>OK</v>
      </c>
    </row>
    <row r="71" spans="1:9" ht="14.5" x14ac:dyDescent="0.35">
      <c r="A71" s="15">
        <f>Datos_Raw!A71</f>
        <v>45627</v>
      </c>
      <c r="B71" s="16">
        <f t="shared" si="6"/>
        <v>2024</v>
      </c>
      <c r="C71" s="16" t="str">
        <f>Datos_Raw!B71</f>
        <v>Diciembre 2024</v>
      </c>
      <c r="D71" s="16" t="str">
        <f>PROPER(TRIM(Datos_Raw!C71))</f>
        <v>Norte</v>
      </c>
      <c r="E71" s="16" t="str">
        <f>PROPER(TRIM(Datos_Raw!D71))</f>
        <v>Hogar</v>
      </c>
      <c r="F71" s="16">
        <f>IFERROR(VALUE(TRIM(Datos_Raw!E71)),0)</f>
        <v>42</v>
      </c>
      <c r="G71" s="17">
        <f>Datos_Raw!F71</f>
        <v>1500</v>
      </c>
      <c r="H71" s="17">
        <f t="shared" si="7"/>
        <v>63000</v>
      </c>
      <c r="I71" s="16" t="str">
        <f t="shared" si="8"/>
        <v>OK</v>
      </c>
    </row>
    <row r="72" spans="1:9" ht="14.5" x14ac:dyDescent="0.35">
      <c r="A72" s="15">
        <f>Datos_Raw!A72</f>
        <v>45627</v>
      </c>
      <c r="B72" s="16">
        <f t="shared" si="6"/>
        <v>2024</v>
      </c>
      <c r="C72" s="16" t="str">
        <f>Datos_Raw!B72</f>
        <v>Diciembre 2024</v>
      </c>
      <c r="D72" s="16" t="str">
        <f>PROPER(TRIM(Datos_Raw!C72))</f>
        <v>Norte</v>
      </c>
      <c r="E72" s="16" t="str">
        <f>PROPER(TRIM(Datos_Raw!D72))</f>
        <v>Oficina</v>
      </c>
      <c r="F72" s="16">
        <f>IFERROR(VALUE(TRIM(Datos_Raw!E72)),0)</f>
        <v>40</v>
      </c>
      <c r="G72" s="17">
        <f>Datos_Raw!F72</f>
        <v>1100</v>
      </c>
      <c r="H72" s="17">
        <f t="shared" si="7"/>
        <v>44000</v>
      </c>
      <c r="I72" s="16" t="str">
        <f t="shared" si="8"/>
        <v>OK</v>
      </c>
    </row>
    <row r="73" spans="1:9" ht="14.5" x14ac:dyDescent="0.35">
      <c r="A73" s="15">
        <f>Datos_Raw!A73</f>
        <v>45627</v>
      </c>
      <c r="B73" s="16">
        <f t="shared" si="6"/>
        <v>2024</v>
      </c>
      <c r="C73" s="16" t="str">
        <f>Datos_Raw!B73</f>
        <v>Diciembre 2024</v>
      </c>
      <c r="D73" s="16" t="str">
        <f>PROPER(TRIM(Datos_Raw!C73))</f>
        <v>Sur</v>
      </c>
      <c r="E73" s="16" t="str">
        <f>PROPER(TRIM(Datos_Raw!D73))</f>
        <v>Tecnologia</v>
      </c>
      <c r="F73" s="16">
        <f>IFERROR(VALUE(TRIM(Datos_Raw!E73)),0)</f>
        <v>32</v>
      </c>
      <c r="G73" s="17">
        <f>Datos_Raw!F73</f>
        <v>2600</v>
      </c>
      <c r="H73" s="17">
        <f t="shared" si="7"/>
        <v>83200</v>
      </c>
      <c r="I73" s="16" t="str">
        <f t="shared" si="8"/>
        <v>OK</v>
      </c>
    </row>
    <row r="74" spans="1:9" ht="14.5" x14ac:dyDescent="0.35">
      <c r="A74" s="15">
        <f>Datos_Raw!A74</f>
        <v>45627</v>
      </c>
      <c r="B74" s="16">
        <f t="shared" si="6"/>
        <v>2024</v>
      </c>
      <c r="C74" s="16" t="str">
        <f>Datos_Raw!B74</f>
        <v>Diciembre 2024</v>
      </c>
      <c r="D74" s="16" t="str">
        <f>PROPER(TRIM(Datos_Raw!C74))</f>
        <v>Sur</v>
      </c>
      <c r="E74" s="16" t="str">
        <f>PROPER(TRIM(Datos_Raw!D74))</f>
        <v>Hogar</v>
      </c>
      <c r="F74" s="16">
        <f>IFERROR(VALUE(TRIM(Datos_Raw!E74)),0)</f>
        <v>35</v>
      </c>
      <c r="G74" s="17">
        <f>Datos_Raw!F74</f>
        <v>1500</v>
      </c>
      <c r="H74" s="17">
        <f t="shared" si="7"/>
        <v>52500</v>
      </c>
      <c r="I74" s="16" t="str">
        <f t="shared" si="8"/>
        <v>OK</v>
      </c>
    </row>
    <row r="75" spans="1:9" ht="14.5" x14ac:dyDescent="0.35">
      <c r="A75" s="15">
        <f>Datos_Raw!A75</f>
        <v>45627</v>
      </c>
      <c r="B75" s="16">
        <f t="shared" si="6"/>
        <v>2024</v>
      </c>
      <c r="C75" s="16" t="str">
        <f>Datos_Raw!B75</f>
        <v>Diciembre 2024</v>
      </c>
      <c r="D75" s="16" t="str">
        <f>PROPER(TRIM(Datos_Raw!C75))</f>
        <v>Sur</v>
      </c>
      <c r="E75" s="16" t="str">
        <f>PROPER(TRIM(Datos_Raw!D75))</f>
        <v>Oficina</v>
      </c>
      <c r="F75" s="16">
        <f>IFERROR(VALUE(TRIM(Datos_Raw!E75)),0)</f>
        <v>33</v>
      </c>
      <c r="G75" s="17">
        <f>Datos_Raw!F75</f>
        <v>1100</v>
      </c>
      <c r="H75" s="17">
        <f t="shared" si="7"/>
        <v>36300</v>
      </c>
      <c r="I75" s="16" t="str">
        <f t="shared" si="8"/>
        <v>OK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400A0"/>
  </sheetPr>
  <dimension ref="A1:L41"/>
  <sheetViews>
    <sheetView showGridLines="0" topLeftCell="A9" zoomScale="70" zoomScaleNormal="70" workbookViewId="0">
      <selection activeCell="F4" sqref="F4"/>
    </sheetView>
  </sheetViews>
  <sheetFormatPr baseColWidth="10" defaultColWidth="8.6328125" defaultRowHeight="15" customHeight="1" x14ac:dyDescent="0.35"/>
  <cols>
    <col min="1" max="1" width="18" customWidth="1"/>
    <col min="2" max="2" width="14" customWidth="1"/>
    <col min="3" max="3" width="16" customWidth="1"/>
    <col min="4" max="4" width="5" customWidth="1"/>
    <col min="5" max="5" width="14" customWidth="1"/>
    <col min="6" max="6" width="16" customWidth="1"/>
    <col min="7" max="7" width="14" customWidth="1"/>
    <col min="8" max="8" width="16" customWidth="1"/>
    <col min="9" max="9" width="14" customWidth="1"/>
    <col min="10" max="10" width="16" customWidth="1"/>
    <col min="11" max="11" width="14" customWidth="1"/>
    <col min="12" max="12" width="16" customWidth="1"/>
  </cols>
  <sheetData>
    <row r="1" spans="2:12" ht="21.75" customHeight="1" x14ac:dyDescent="0.35"/>
    <row r="2" spans="2:12" ht="21.75" customHeight="1" x14ac:dyDescent="0.35">
      <c r="B2" s="6" t="s">
        <v>109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2:12" ht="21.75" customHeight="1" x14ac:dyDescent="0.35"/>
    <row r="4" spans="2:12" ht="21.75" customHeight="1" x14ac:dyDescent="0.35">
      <c r="B4" s="23" t="s">
        <v>110</v>
      </c>
      <c r="C4" s="24" t="s">
        <v>35</v>
      </c>
      <c r="E4" s="23" t="s">
        <v>112</v>
      </c>
      <c r="F4" s="24" t="s">
        <v>40</v>
      </c>
    </row>
    <row r="5" spans="2:12" ht="21.75" customHeight="1" x14ac:dyDescent="0.35"/>
    <row r="6" spans="2:12" ht="21.75" customHeight="1" x14ac:dyDescent="0.35">
      <c r="B6" s="25" t="s">
        <v>113</v>
      </c>
      <c r="E6" s="25" t="s">
        <v>114</v>
      </c>
      <c r="H6" s="25" t="s">
        <v>115</v>
      </c>
      <c r="K6" s="25" t="s">
        <v>116</v>
      </c>
    </row>
    <row r="7" spans="2:12" ht="21.75" customHeight="1" x14ac:dyDescent="0.35">
      <c r="B7" s="26">
        <f>SUMPRODUCT(--((Dashboard!$C$4="Todas")+(Datos_Limpios!$D$4:$D$75=Dashboard!$C$4)&gt;0),--((Dashboard!$F$4="Todas")+(Datos_Limpios!$E$4:$E$75=Dashboard!$F$4)&gt;0),Datos_Limpios!$H$4:$H$75)</f>
        <v>383900</v>
      </c>
      <c r="E7" s="27">
        <f>SUMPRODUCT(--((Dashboard!$C$4="Todas")+(Datos_Limpios!$D$4:$D$75=Dashboard!$C$4)&gt;0),--((Dashboard!$F$4="Todas")+(Datos_Limpios!$E$4:$E$75=Dashboard!$F$4)&gt;0),Datos_Limpios!$F$4:$F$75)</f>
        <v>349</v>
      </c>
      <c r="H7" s="26">
        <f>IF(E7=0,0,B7/E7)</f>
        <v>1100</v>
      </c>
      <c r="K7" s="27">
        <f>SUMPRODUCT(--((Dashboard!$C$4="Todas")+(Datos_Limpios!$D$4:$D$75=Dashboard!$C$4)&gt;0),--((Dashboard!$F$4="Todas")+(Datos_Limpios!$E$4:$E$75=Dashboard!$F$4)&gt;0))</f>
        <v>12</v>
      </c>
    </row>
    <row r="8" spans="2:12" ht="21.75" customHeight="1" x14ac:dyDescent="0.35"/>
    <row r="9" spans="2:12" ht="21.75" customHeight="1" x14ac:dyDescent="0.35">
      <c r="B9" s="9" t="s">
        <v>117</v>
      </c>
      <c r="C9" s="9"/>
      <c r="D9" s="9"/>
      <c r="E9" s="9"/>
      <c r="F9" s="9" t="s">
        <v>118</v>
      </c>
      <c r="G9" s="9"/>
      <c r="H9" s="9"/>
      <c r="I9" s="9"/>
      <c r="J9" s="9" t="s">
        <v>119</v>
      </c>
      <c r="K9" s="9"/>
      <c r="L9" s="9"/>
    </row>
    <row r="10" spans="2:12" ht="21.75" customHeight="1" x14ac:dyDescent="0.35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2:12" ht="21.75" customHeight="1" x14ac:dyDescent="0.35"/>
    <row r="12" spans="2:12" ht="21.75" customHeight="1" x14ac:dyDescent="0.35"/>
    <row r="13" spans="2:12" ht="21.75" customHeight="1" x14ac:dyDescent="0.35"/>
    <row r="14" spans="2:12" ht="21.75" customHeight="1" x14ac:dyDescent="0.35"/>
    <row r="15" spans="2:12" ht="21.75" customHeight="1" x14ac:dyDescent="0.35"/>
    <row r="16" spans="2:12" ht="21.75" customHeight="1" x14ac:dyDescent="0.35"/>
    <row r="17" spans="1:11" ht="21.75" customHeight="1" x14ac:dyDescent="0.35"/>
    <row r="18" spans="1:11" ht="21.75" customHeight="1" x14ac:dyDescent="0.35"/>
    <row r="19" spans="1:11" ht="21.75" customHeight="1" x14ac:dyDescent="0.35"/>
    <row r="20" spans="1:11" ht="21.75" customHeight="1" x14ac:dyDescent="0.35">
      <c r="A20" s="14" t="s">
        <v>12</v>
      </c>
      <c r="B20" s="14" t="s">
        <v>106</v>
      </c>
      <c r="F20" s="14" t="s">
        <v>104</v>
      </c>
      <c r="G20" s="14" t="s">
        <v>106</v>
      </c>
      <c r="J20" s="14" t="s">
        <v>103</v>
      </c>
      <c r="K20" s="14" t="s">
        <v>106</v>
      </c>
    </row>
    <row r="21" spans="1:11" ht="21.75" customHeight="1" x14ac:dyDescent="0.35">
      <c r="A21" s="16" t="s">
        <v>17</v>
      </c>
      <c r="B21" s="28">
        <f>SUMPRODUCT(--(Datos_Limpios!$C$4:$C$75=A21),--((Dashboard!$C$4="Todas")+(Datos_Limpios!$D$4:$D$75=Dashboard!$C$4)&gt;0),--((Dashboard!$F$4="Todas")+(Datos_Limpios!$E$4:$E$75=Dashboard!$F$4)&gt;0),Datos_Limpios!$H$4:$H$75)</f>
        <v>20900</v>
      </c>
      <c r="F21" s="29" t="s">
        <v>36</v>
      </c>
      <c r="G21" s="30">
        <f>SUMPRODUCT(--(Datos_Limpios!$E$4:$E$75=F21),--((Dashboard!$C$4="Todas")+(Datos_Limpios!$D$4:$D$75=Dashboard!$C$4)&gt;0),Datos_Limpios!$H$4:$H$75)</f>
        <v>837200</v>
      </c>
      <c r="J21" s="29" t="s">
        <v>35</v>
      </c>
      <c r="K21" s="30">
        <f>SUMPRODUCT(--(Datos_Limpios!$D$4:$D$75=J21),--((Dashboard!$F$4="Todas")+(Datos_Limpios!$E$4:$E$75=Dashboard!$F$4)&gt;0),Datos_Limpios!$H$4:$H$75)</f>
        <v>383900</v>
      </c>
    </row>
    <row r="22" spans="1:11" ht="21.75" customHeight="1" x14ac:dyDescent="0.35">
      <c r="A22" s="16" t="s">
        <v>34</v>
      </c>
      <c r="B22" s="28">
        <f>SUMPRODUCT(--(Datos_Limpios!$C$4:$C$75=A22),--((Dashboard!$C$4="Todas")+(Datos_Limpios!$D$4:$D$75=Dashboard!$C$4)&gt;0),--((Dashboard!$F$4="Todas")+(Datos_Limpios!$E$4:$E$75=Dashboard!$F$4)&gt;0),Datos_Limpios!$H$4:$H$75)</f>
        <v>23100</v>
      </c>
      <c r="F22" s="29" t="s">
        <v>37</v>
      </c>
      <c r="G22" s="30">
        <f>SUMPRODUCT(--(Datos_Limpios!$E$4:$E$75=F22),--((Dashboard!$C$4="Todas")+(Datos_Limpios!$D$4:$D$75=Dashboard!$C$4)&gt;0),Datos_Limpios!$H$4:$H$75)</f>
        <v>562500</v>
      </c>
      <c r="J22" s="29" t="s">
        <v>42</v>
      </c>
      <c r="K22" s="30">
        <f>SUMPRODUCT(--(Datos_Limpios!$D$4:$D$75=J22),--((Dashboard!$F$4="Todas")+(Datos_Limpios!$E$4:$E$75=Dashboard!$F$4)&gt;0),Datos_Limpios!$H$4:$H$75)</f>
        <v>319000</v>
      </c>
    </row>
    <row r="23" spans="1:11" ht="21.75" customHeight="1" x14ac:dyDescent="0.35">
      <c r="A23" s="16" t="s">
        <v>49</v>
      </c>
      <c r="B23" s="28">
        <f>SUMPRODUCT(--(Datos_Limpios!$C$4:$C$75=A23),--((Dashboard!$C$4="Todas")+(Datos_Limpios!$D$4:$D$75=Dashboard!$C$4)&gt;0),--((Dashboard!$F$4="Todas")+(Datos_Limpios!$E$4:$E$75=Dashboard!$F$4)&gt;0),Datos_Limpios!$H$4:$H$75)</f>
        <v>24200</v>
      </c>
      <c r="F23" s="29" t="s">
        <v>40</v>
      </c>
      <c r="G23" s="30">
        <f>SUMPRODUCT(--(Datos_Limpios!$E$4:$E$75=F23),--((Dashboard!$C$4="Todas")+(Datos_Limpios!$D$4:$D$75=Dashboard!$C$4)&gt;0),Datos_Limpios!$H$4:$H$75)</f>
        <v>383900</v>
      </c>
    </row>
    <row r="24" spans="1:11" ht="21.75" customHeight="1" x14ac:dyDescent="0.35">
      <c r="A24" s="16" t="s">
        <v>60</v>
      </c>
      <c r="B24" s="28">
        <f>SUMPRODUCT(--(Datos_Limpios!$C$4:$C$75=A24),--((Dashboard!$C$4="Todas")+(Datos_Limpios!$D$4:$D$75=Dashboard!$C$4)&gt;0),--((Dashboard!$F$4="Todas")+(Datos_Limpios!$E$4:$E$75=Dashboard!$F$4)&gt;0),Datos_Limpios!$H$4:$H$75)</f>
        <v>27500</v>
      </c>
    </row>
    <row r="25" spans="1:11" ht="21.75" customHeight="1" x14ac:dyDescent="0.35">
      <c r="A25" s="16" t="s">
        <v>65</v>
      </c>
      <c r="B25" s="28">
        <f>SUMPRODUCT(--(Datos_Limpios!$C$4:$C$75=A25),--((Dashboard!$C$4="Todas")+(Datos_Limpios!$D$4:$D$75=Dashboard!$C$4)&gt;0),--((Dashboard!$F$4="Todas")+(Datos_Limpios!$E$4:$E$75=Dashboard!$F$4)&gt;0),Datos_Limpios!$H$4:$H$75)</f>
        <v>27500</v>
      </c>
    </row>
    <row r="26" spans="1:11" ht="21.75" customHeight="1" x14ac:dyDescent="0.35">
      <c r="A26" s="16" t="s">
        <v>68</v>
      </c>
      <c r="B26" s="28">
        <f>SUMPRODUCT(--(Datos_Limpios!$C$4:$C$75=A26),--((Dashboard!$C$4="Todas")+(Datos_Limpios!$D$4:$D$75=Dashboard!$C$4)&gt;0),--((Dashboard!$F$4="Todas")+(Datos_Limpios!$E$4:$E$75=Dashboard!$F$4)&gt;0),Datos_Limpios!$H$4:$H$75)</f>
        <v>31900</v>
      </c>
    </row>
    <row r="27" spans="1:11" ht="21.75" customHeight="1" x14ac:dyDescent="0.35">
      <c r="A27" s="16" t="s">
        <v>73</v>
      </c>
      <c r="B27" s="28">
        <f>SUMPRODUCT(--(Datos_Limpios!$C$4:$C$75=A27),--((Dashboard!$C$4="Todas")+(Datos_Limpios!$D$4:$D$75=Dashboard!$C$4)&gt;0),--((Dashboard!$F$4="Todas")+(Datos_Limpios!$E$4:$E$75=Dashboard!$F$4)&gt;0),Datos_Limpios!$H$4:$H$75)</f>
        <v>31900</v>
      </c>
    </row>
    <row r="28" spans="1:11" ht="21.75" customHeight="1" x14ac:dyDescent="0.35">
      <c r="A28" s="16" t="s">
        <v>78</v>
      </c>
      <c r="B28" s="28">
        <f>SUMPRODUCT(--(Datos_Limpios!$C$4:$C$75=A28),--((Dashboard!$C$4="Todas")+(Datos_Limpios!$D$4:$D$75=Dashboard!$C$4)&gt;0),--((Dashboard!$F$4="Todas")+(Datos_Limpios!$E$4:$E$75=Dashboard!$F$4)&gt;0),Datos_Limpios!$H$4:$H$75)</f>
        <v>36300</v>
      </c>
    </row>
    <row r="29" spans="1:11" ht="21.75" customHeight="1" x14ac:dyDescent="0.35">
      <c r="A29" s="16" t="s">
        <v>82</v>
      </c>
      <c r="B29" s="28">
        <f>SUMPRODUCT(--(Datos_Limpios!$C$4:$C$75=A29),--((Dashboard!$C$4="Todas")+(Datos_Limpios!$D$4:$D$75=Dashboard!$C$4)&gt;0),--((Dashboard!$F$4="Todas")+(Datos_Limpios!$E$4:$E$75=Dashboard!$F$4)&gt;0),Datos_Limpios!$H$4:$H$75)</f>
        <v>36300</v>
      </c>
    </row>
    <row r="30" spans="1:11" ht="21.75" customHeight="1" x14ac:dyDescent="0.35">
      <c r="A30" s="16" t="s">
        <v>85</v>
      </c>
      <c r="B30" s="28">
        <f>SUMPRODUCT(--(Datos_Limpios!$C$4:$C$75=A30),--((Dashboard!$C$4="Todas")+(Datos_Limpios!$D$4:$D$75=Dashboard!$C$4)&gt;0),--((Dashboard!$F$4="Todas")+(Datos_Limpios!$E$4:$E$75=Dashboard!$F$4)&gt;0),Datos_Limpios!$H$4:$H$75)</f>
        <v>39600</v>
      </c>
    </row>
    <row r="31" spans="1:11" ht="21.75" customHeight="1" x14ac:dyDescent="0.35">
      <c r="A31" s="16" t="s">
        <v>91</v>
      </c>
      <c r="B31" s="28">
        <f>SUMPRODUCT(--(Datos_Limpios!$C$4:$C$75=A31),--((Dashboard!$C$4="Todas")+(Datos_Limpios!$D$4:$D$75=Dashboard!$C$4)&gt;0),--((Dashboard!$F$4="Todas")+(Datos_Limpios!$E$4:$E$75=Dashboard!$F$4)&gt;0),Datos_Limpios!$H$4:$H$75)</f>
        <v>40700</v>
      </c>
    </row>
    <row r="32" spans="1:11" ht="21.75" customHeight="1" x14ac:dyDescent="0.35">
      <c r="A32" s="16" t="s">
        <v>96</v>
      </c>
      <c r="B32" s="28">
        <f>SUMPRODUCT(--(Datos_Limpios!$C$4:$C$75=A32),--((Dashboard!$C$4="Todas")+(Datos_Limpios!$D$4:$D$75=Dashboard!$C$4)&gt;0),--((Dashboard!$F$4="Todas")+(Datos_Limpios!$E$4:$E$75=Dashboard!$F$4)&gt;0),Datos_Limpios!$H$4:$H$75)</f>
        <v>44000</v>
      </c>
    </row>
    <row r="33" ht="21.75" customHeight="1" x14ac:dyDescent="0.35"/>
    <row r="34" ht="21.75" customHeight="1" x14ac:dyDescent="0.35"/>
    <row r="35" ht="21.75" customHeight="1" x14ac:dyDescent="0.35"/>
    <row r="36" ht="21.75" customHeight="1" x14ac:dyDescent="0.35"/>
    <row r="37" ht="21.75" customHeight="1" x14ac:dyDescent="0.35"/>
    <row r="38" ht="21.75" customHeight="1" x14ac:dyDescent="0.35"/>
    <row r="39" ht="21.75" customHeight="1" x14ac:dyDescent="0.35"/>
    <row r="40" ht="21.75" customHeight="1" x14ac:dyDescent="0.35"/>
    <row r="41" ht="21.75" customHeight="1" x14ac:dyDescent="0.35"/>
  </sheetData>
  <mergeCells count="4">
    <mergeCell ref="B2:L2"/>
    <mergeCell ref="B9:E10"/>
    <mergeCell ref="F9:I10"/>
    <mergeCell ref="J9:L10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Listas!$A$1:$A$3</xm:f>
          </x14:formula1>
          <x14:formula2>
            <xm:f>0</xm:f>
          </x14:formula2>
          <xm:sqref>C4</xm:sqref>
        </x14:dataValidation>
        <x14:dataValidation type="list" xr:uid="{00000000-0002-0000-0300-000001000000}">
          <x14:formula1>
            <xm:f>Listas!$B$1:$B$4</xm:f>
          </x14:formula1>
          <x14:formula2>
            <xm:f>0</xm:f>
          </x14:formula2>
          <xm:sqref>F4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C3AED"/>
  </sheetPr>
  <dimension ref="B1:H31"/>
  <sheetViews>
    <sheetView showGridLines="0" tabSelected="1" topLeftCell="A5" zoomScaleNormal="100" workbookViewId="0">
      <selection activeCell="K18" sqref="K18"/>
    </sheetView>
  </sheetViews>
  <sheetFormatPr baseColWidth="10" defaultColWidth="8.6328125" defaultRowHeight="15" customHeight="1" x14ac:dyDescent="0.35"/>
  <cols>
    <col min="1" max="1" width="18" customWidth="1"/>
    <col min="2" max="2" width="16" customWidth="1"/>
    <col min="3" max="3" width="12" customWidth="1"/>
    <col min="4" max="4" width="14" customWidth="1"/>
    <col min="5" max="5" width="18" customWidth="1"/>
    <col min="6" max="6" width="20" customWidth="1"/>
    <col min="7" max="7" width="16" customWidth="1"/>
    <col min="8" max="8" width="18" customWidth="1"/>
  </cols>
  <sheetData>
    <row r="1" spans="2:8" ht="21.75" customHeight="1" x14ac:dyDescent="0.35"/>
    <row r="2" spans="2:8" ht="21.75" customHeight="1" x14ac:dyDescent="0.35">
      <c r="B2" s="6" t="s">
        <v>120</v>
      </c>
      <c r="C2" s="6"/>
      <c r="D2" s="6"/>
      <c r="E2" s="6"/>
      <c r="F2" s="6"/>
      <c r="G2" s="6"/>
      <c r="H2" s="6"/>
    </row>
    <row r="3" spans="2:8" ht="21.75" customHeight="1" x14ac:dyDescent="0.35"/>
    <row r="4" spans="2:8" ht="21.75" customHeight="1" x14ac:dyDescent="0.35">
      <c r="B4" s="7" t="s">
        <v>121</v>
      </c>
      <c r="C4" s="7"/>
      <c r="D4" s="7"/>
      <c r="E4" s="7"/>
      <c r="F4" s="7"/>
      <c r="G4" s="7"/>
      <c r="H4" s="7"/>
    </row>
    <row r="5" spans="2:8" ht="21.75" customHeight="1" x14ac:dyDescent="0.35"/>
    <row r="6" spans="2:8" ht="21.75" customHeight="1" x14ac:dyDescent="0.35">
      <c r="B6" s="14" t="s">
        <v>12</v>
      </c>
      <c r="C6" s="14" t="s">
        <v>122</v>
      </c>
      <c r="D6" s="14" t="s">
        <v>123</v>
      </c>
      <c r="E6" s="14" t="s">
        <v>124</v>
      </c>
      <c r="G6" s="31" t="s">
        <v>125</v>
      </c>
      <c r="H6" s="32">
        <f>AVERAGE(E13:E18)</f>
        <v>5.7975598333435539E-2</v>
      </c>
    </row>
    <row r="7" spans="2:8" ht="21.75" customHeight="1" x14ac:dyDescent="0.35">
      <c r="B7" s="16" t="s">
        <v>17</v>
      </c>
      <c r="C7" s="17">
        <f>SUMIF(Datos_Limpios!$C$4:$C$75,B7,Datos_Limpios!$H$4:$H$75)</f>
        <v>177600</v>
      </c>
      <c r="D7" s="16">
        <v>1</v>
      </c>
      <c r="E7" s="16"/>
      <c r="G7" s="31" t="s">
        <v>126</v>
      </c>
      <c r="H7" s="33">
        <f>SUM(C7:C18)</f>
        <v>3271500</v>
      </c>
    </row>
    <row r="8" spans="2:8" ht="21.75" customHeight="1" x14ac:dyDescent="0.35">
      <c r="B8" s="16" t="s">
        <v>34</v>
      </c>
      <c r="C8" s="17">
        <f>SUMIF(Datos_Limpios!$C$4:$C$75,B8,Datos_Limpios!$H$4:$H$75)</f>
        <v>199900</v>
      </c>
      <c r="D8" s="16">
        <v>2</v>
      </c>
      <c r="E8" s="34">
        <f t="shared" ref="E8:E18" si="0">IFERROR(C8/C7-1,0)</f>
        <v>0.12556306306306309</v>
      </c>
      <c r="G8" s="31" t="s">
        <v>127</v>
      </c>
      <c r="H8" s="33">
        <f>AVERAGE(C7:C18)</f>
        <v>272625</v>
      </c>
    </row>
    <row r="9" spans="2:8" ht="21.75" customHeight="1" x14ac:dyDescent="0.35">
      <c r="B9" s="16" t="s">
        <v>49</v>
      </c>
      <c r="C9" s="17">
        <f>SUMIF(Datos_Limpios!$C$4:$C$75,B9,Datos_Limpios!$H$4:$H$75)</f>
        <v>201000</v>
      </c>
      <c r="D9" s="16">
        <v>3</v>
      </c>
      <c r="E9" s="34">
        <f t="shared" si="0"/>
        <v>5.5027513756877866E-3</v>
      </c>
    </row>
    <row r="10" spans="2:8" ht="21.75" customHeight="1" x14ac:dyDescent="0.35">
      <c r="B10" s="16" t="s">
        <v>60</v>
      </c>
      <c r="C10" s="17">
        <f>SUMIF(Datos_Limpios!$C$4:$C$75,B10,Datos_Limpios!$H$4:$H$75)</f>
        <v>234800</v>
      </c>
      <c r="D10" s="16">
        <v>4</v>
      </c>
      <c r="E10" s="34">
        <f t="shared" si="0"/>
        <v>0.16815920398009943</v>
      </c>
      <c r="G10" s="35" t="s">
        <v>128</v>
      </c>
      <c r="H10" s="36" t="str">
        <f>INDEX(B21:B23,MATCH(MAX(C21:C23),C21:C23,0))</f>
        <v>Marzo 2025</v>
      </c>
    </row>
    <row r="11" spans="2:8" ht="21.75" customHeight="1" x14ac:dyDescent="0.35">
      <c r="B11" s="16" t="s">
        <v>65</v>
      </c>
      <c r="C11" s="17">
        <f>SUMIF(Datos_Limpios!$C$4:$C$75,B11,Datos_Limpios!$H$4:$H$75)</f>
        <v>236300</v>
      </c>
      <c r="D11" s="16">
        <v>5</v>
      </c>
      <c r="E11" s="34">
        <f t="shared" si="0"/>
        <v>6.3884156729130392E-3</v>
      </c>
      <c r="G11" s="35" t="s">
        <v>129</v>
      </c>
      <c r="H11" s="33">
        <f>MAX(C21:C23)</f>
        <v>447392.71354661603</v>
      </c>
    </row>
    <row r="12" spans="2:8" ht="21.75" customHeight="1" x14ac:dyDescent="0.35">
      <c r="B12" s="16" t="s">
        <v>68</v>
      </c>
      <c r="C12" s="17">
        <f>SUMIF(Datos_Limpios!$C$4:$C$75,B12,Datos_Limpios!$H$4:$H$75)</f>
        <v>271200</v>
      </c>
      <c r="D12" s="16">
        <v>6</v>
      </c>
      <c r="E12" s="34">
        <f t="shared" si="0"/>
        <v>0.14769360981802793</v>
      </c>
    </row>
    <row r="13" spans="2:8" ht="21.75" customHeight="1" x14ac:dyDescent="0.35">
      <c r="B13" s="16" t="s">
        <v>73</v>
      </c>
      <c r="C13" s="17">
        <f>SUMIF(Datos_Limpios!$C$4:$C$75,B13,Datos_Limpios!$H$4:$H$75)</f>
        <v>271200</v>
      </c>
      <c r="D13" s="16">
        <v>7</v>
      </c>
      <c r="E13" s="34">
        <f t="shared" si="0"/>
        <v>0</v>
      </c>
    </row>
    <row r="14" spans="2:8" ht="21.75" customHeight="1" x14ac:dyDescent="0.35">
      <c r="B14" s="16" t="s">
        <v>78</v>
      </c>
      <c r="C14" s="17">
        <f>SUMIF(Datos_Limpios!$C$4:$C$75,B14,Datos_Limpios!$H$4:$H$75)</f>
        <v>305000</v>
      </c>
      <c r="D14" s="16">
        <v>8</v>
      </c>
      <c r="E14" s="34">
        <f t="shared" si="0"/>
        <v>0.12463126843657824</v>
      </c>
    </row>
    <row r="15" spans="2:8" ht="21.75" customHeight="1" x14ac:dyDescent="0.35">
      <c r="B15" s="16" t="s">
        <v>82</v>
      </c>
      <c r="C15" s="17">
        <f>SUMIF(Datos_Limpios!$C$4:$C$75,B15,Datos_Limpios!$H$4:$H$75)</f>
        <v>310200</v>
      </c>
      <c r="D15" s="16">
        <v>9</v>
      </c>
      <c r="E15" s="34">
        <f t="shared" si="0"/>
        <v>1.7049180327868951E-2</v>
      </c>
    </row>
    <row r="16" spans="2:8" ht="21.75" customHeight="1" x14ac:dyDescent="0.35">
      <c r="B16" s="16" t="s">
        <v>85</v>
      </c>
      <c r="C16" s="17">
        <f>SUMIF(Datos_Limpios!$C$4:$C$75,B16,Datos_Limpios!$H$4:$H$75)</f>
        <v>341400</v>
      </c>
      <c r="D16" s="16">
        <v>10</v>
      </c>
      <c r="E16" s="34">
        <f t="shared" si="0"/>
        <v>0.10058027079303677</v>
      </c>
    </row>
    <row r="17" spans="2:5" ht="21.75" customHeight="1" x14ac:dyDescent="0.35">
      <c r="B17" s="16" t="s">
        <v>91</v>
      </c>
      <c r="C17" s="17">
        <f>SUMIF(Datos_Limpios!$C$4:$C$75,B17,Datos_Limpios!$H$4:$H$75)</f>
        <v>345100</v>
      </c>
      <c r="D17" s="16">
        <v>11</v>
      </c>
      <c r="E17" s="34">
        <f t="shared" si="0"/>
        <v>1.0837727006444142E-2</v>
      </c>
    </row>
    <row r="18" spans="2:5" ht="21.75" customHeight="1" x14ac:dyDescent="0.35">
      <c r="B18" s="16" t="s">
        <v>96</v>
      </c>
      <c r="C18" s="17">
        <f>SUMIF(Datos_Limpios!$C$4:$C$75,B18,Datos_Limpios!$H$4:$H$75)</f>
        <v>377800</v>
      </c>
      <c r="D18" s="16">
        <v>12</v>
      </c>
      <c r="E18" s="34">
        <f t="shared" si="0"/>
        <v>9.4755143436685119E-2</v>
      </c>
    </row>
    <row r="19" spans="2:5" ht="21.75" customHeight="1" x14ac:dyDescent="0.35"/>
    <row r="20" spans="2:5" ht="21.75" customHeight="1" x14ac:dyDescent="0.35">
      <c r="B20" s="14" t="s">
        <v>130</v>
      </c>
      <c r="C20" s="14" t="s">
        <v>131</v>
      </c>
      <c r="D20" s="14" t="s">
        <v>123</v>
      </c>
    </row>
    <row r="21" spans="2:5" ht="21.75" customHeight="1" x14ac:dyDescent="0.35">
      <c r="B21" s="16" t="s">
        <v>132</v>
      </c>
      <c r="C21" s="17">
        <f>$C$18*(1+$H$6)</f>
        <v>399703.18105037196</v>
      </c>
      <c r="D21" s="16">
        <v>13</v>
      </c>
    </row>
    <row r="22" spans="2:5" ht="21.75" customHeight="1" x14ac:dyDescent="0.35">
      <c r="B22" s="16" t="s">
        <v>133</v>
      </c>
      <c r="C22" s="17">
        <f>C21*(1+$H$6)</f>
        <v>422876.2121275448</v>
      </c>
      <c r="D22" s="16">
        <v>14</v>
      </c>
    </row>
    <row r="23" spans="2:5" ht="21.75" customHeight="1" x14ac:dyDescent="0.35">
      <c r="B23" s="16" t="s">
        <v>134</v>
      </c>
      <c r="C23" s="17">
        <f>C22*(1+$H$6)</f>
        <v>447392.71354661603</v>
      </c>
      <c r="D23" s="16">
        <v>15</v>
      </c>
    </row>
    <row r="24" spans="2:5" ht="21.75" customHeight="1" x14ac:dyDescent="0.35"/>
    <row r="25" spans="2:5" ht="21.75" customHeight="1" x14ac:dyDescent="0.35"/>
    <row r="26" spans="2:5" ht="21.75" customHeight="1" x14ac:dyDescent="0.35"/>
    <row r="27" spans="2:5" ht="21.75" customHeight="1" x14ac:dyDescent="0.35"/>
    <row r="28" spans="2:5" ht="21.75" customHeight="1" x14ac:dyDescent="0.35"/>
    <row r="29" spans="2:5" ht="21.75" customHeight="1" x14ac:dyDescent="0.35"/>
    <row r="30" spans="2:5" ht="21.75" customHeight="1" x14ac:dyDescent="0.35"/>
    <row r="31" spans="2:5" ht="21.75" customHeight="1" x14ac:dyDescent="0.35"/>
  </sheetData>
  <mergeCells count="2">
    <mergeCell ref="B2:H2"/>
    <mergeCell ref="B4:H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59669"/>
  </sheetPr>
  <dimension ref="B1:I29"/>
  <sheetViews>
    <sheetView showGridLines="0" zoomScaleNormal="100" workbookViewId="0">
      <selection activeCell="D33" sqref="D33"/>
    </sheetView>
  </sheetViews>
  <sheetFormatPr baseColWidth="10" defaultColWidth="8.6328125" defaultRowHeight="15" customHeight="1" x14ac:dyDescent="0.35"/>
  <cols>
    <col min="1" max="1" width="4" customWidth="1"/>
    <col min="2" max="2" width="22" customWidth="1"/>
    <col min="3" max="6" width="18" customWidth="1"/>
    <col min="7" max="7" width="4" customWidth="1"/>
    <col min="8" max="8" width="18" customWidth="1"/>
    <col min="9" max="9" width="16" customWidth="1"/>
  </cols>
  <sheetData>
    <row r="1" spans="2:9" ht="24" customHeight="1" x14ac:dyDescent="0.35"/>
    <row r="2" spans="2:9" ht="24" customHeight="1" x14ac:dyDescent="0.35">
      <c r="B2" s="6" t="s">
        <v>135</v>
      </c>
      <c r="C2" s="6"/>
      <c r="D2" s="6"/>
      <c r="E2" s="6"/>
      <c r="F2" s="6"/>
      <c r="G2" s="6"/>
      <c r="H2" s="6"/>
      <c r="I2" s="6"/>
    </row>
    <row r="3" spans="2:9" ht="24" customHeight="1" x14ac:dyDescent="0.35"/>
    <row r="4" spans="2:9" ht="39.75" customHeight="1" x14ac:dyDescent="0.35">
      <c r="B4" s="23" t="s">
        <v>5</v>
      </c>
      <c r="C4" s="5" t="s">
        <v>136</v>
      </c>
      <c r="D4" s="5"/>
      <c r="E4" s="5"/>
      <c r="F4" s="5"/>
      <c r="G4" s="5"/>
      <c r="H4" s="5"/>
      <c r="I4" s="5"/>
    </row>
    <row r="5" spans="2:9" ht="24" customHeight="1" x14ac:dyDescent="0.35"/>
    <row r="6" spans="2:9" ht="24" customHeight="1" x14ac:dyDescent="0.35"/>
    <row r="7" spans="2:9" ht="24" customHeight="1" x14ac:dyDescent="0.35">
      <c r="B7" s="37" t="s">
        <v>137</v>
      </c>
      <c r="C7" s="4" t="str">
        <f>Pronostico!H10</f>
        <v>Marzo 2025</v>
      </c>
      <c r="D7" s="4"/>
      <c r="E7" s="4"/>
      <c r="H7" s="14" t="s">
        <v>104</v>
      </c>
      <c r="I7" s="14" t="s">
        <v>106</v>
      </c>
    </row>
    <row r="8" spans="2:9" ht="24" customHeight="1" x14ac:dyDescent="0.35">
      <c r="H8" s="29" t="s">
        <v>36</v>
      </c>
      <c r="I8" s="30">
        <f>SUMIF(Datos_Limpios!$E$4:$E$75,H8,Datos_Limpios!$H$4:$H$75)</f>
        <v>1536600</v>
      </c>
    </row>
    <row r="9" spans="2:9" ht="24" customHeight="1" x14ac:dyDescent="0.35">
      <c r="H9" s="29" t="s">
        <v>37</v>
      </c>
      <c r="I9" s="30">
        <f>SUMIF(Datos_Limpios!$E$4:$E$75,H9,Datos_Limpios!$H$4:$H$75)</f>
        <v>1032000</v>
      </c>
    </row>
    <row r="10" spans="2:9" ht="24" customHeight="1" x14ac:dyDescent="0.35">
      <c r="B10" s="38" t="s">
        <v>129</v>
      </c>
      <c r="C10" s="3">
        <f>Pronostico!H11</f>
        <v>447392.71354661603</v>
      </c>
      <c r="D10" s="3"/>
      <c r="E10" s="3"/>
      <c r="H10" s="29" t="s">
        <v>40</v>
      </c>
      <c r="I10" s="30">
        <f>SUMIF(Datos_Limpios!$E$4:$E$75,H10,Datos_Limpios!$H$4:$H$75)</f>
        <v>702900</v>
      </c>
    </row>
    <row r="11" spans="2:9" ht="24" customHeight="1" x14ac:dyDescent="0.35"/>
    <row r="12" spans="2:9" ht="24" customHeight="1" x14ac:dyDescent="0.35"/>
    <row r="13" spans="2:9" ht="24" customHeight="1" x14ac:dyDescent="0.35">
      <c r="B13" s="37" t="s">
        <v>138</v>
      </c>
      <c r="C13" s="4" t="str">
        <f>INDEX(H8:H10,MATCH(MAX(I8:I10),I8:I10,0))</f>
        <v>Tecnologia</v>
      </c>
      <c r="D13" s="4"/>
      <c r="E13" s="4"/>
      <c r="H13" s="14" t="s">
        <v>103</v>
      </c>
      <c r="I13" s="14" t="s">
        <v>106</v>
      </c>
    </row>
    <row r="14" spans="2:9" ht="24" customHeight="1" x14ac:dyDescent="0.35">
      <c r="H14" s="29" t="s">
        <v>35</v>
      </c>
      <c r="I14" s="30">
        <f>SUMIF(Datos_Limpios!$D$4:$D$75,H14,Datos_Limpios!$H$4:$H$75)</f>
        <v>1783600</v>
      </c>
    </row>
    <row r="15" spans="2:9" ht="24" customHeight="1" x14ac:dyDescent="0.35">
      <c r="H15" s="29" t="s">
        <v>42</v>
      </c>
      <c r="I15" s="30">
        <f>SUMIF(Datos_Limpios!$D$4:$D$75,H15,Datos_Limpios!$H$4:$H$75)</f>
        <v>1487900</v>
      </c>
    </row>
    <row r="16" spans="2:9" ht="24" customHeight="1" x14ac:dyDescent="0.35">
      <c r="B16" s="38" t="s">
        <v>139</v>
      </c>
      <c r="C16" s="4" t="str">
        <f>INDEX(H14:H15,MATCH(MAX(I14:I15),I14:I15,0))</f>
        <v>Norte</v>
      </c>
      <c r="D16" s="4"/>
      <c r="E16" s="4"/>
    </row>
    <row r="17" spans="2:9" ht="24" customHeight="1" x14ac:dyDescent="0.35"/>
    <row r="18" spans="2:9" ht="24" customHeight="1" x14ac:dyDescent="0.35"/>
    <row r="19" spans="2:9" ht="24" customHeight="1" x14ac:dyDescent="0.35">
      <c r="B19" s="37" t="s">
        <v>140</v>
      </c>
      <c r="C19" s="3">
        <f>SUM(Datos_Limpios!H4:H75)</f>
        <v>3271500</v>
      </c>
      <c r="D19" s="3"/>
      <c r="E19" s="3"/>
    </row>
    <row r="20" spans="2:9" ht="24" customHeight="1" x14ac:dyDescent="0.35"/>
    <row r="21" spans="2:9" ht="24" customHeight="1" x14ac:dyDescent="0.35"/>
    <row r="22" spans="2:9" ht="24" customHeight="1" x14ac:dyDescent="0.35">
      <c r="B22" s="38" t="s">
        <v>127</v>
      </c>
      <c r="C22" s="3">
        <f>AVERAGE(Pronostico!C7:C18)</f>
        <v>272625</v>
      </c>
      <c r="D22" s="3"/>
      <c r="E22" s="3"/>
    </row>
    <row r="23" spans="2:9" ht="24" customHeight="1" x14ac:dyDescent="0.35"/>
    <row r="24" spans="2:9" ht="24" customHeight="1" x14ac:dyDescent="0.35"/>
    <row r="25" spans="2:9" ht="36" customHeight="1" x14ac:dyDescent="0.35">
      <c r="B25" s="39" t="s">
        <v>141</v>
      </c>
      <c r="C25" s="2" t="s">
        <v>142</v>
      </c>
      <c r="D25" s="2"/>
      <c r="E25" s="2"/>
      <c r="F25" s="2"/>
      <c r="G25" s="2"/>
      <c r="H25" s="2"/>
      <c r="I25" s="2"/>
    </row>
    <row r="26" spans="2:9" ht="24" customHeight="1" x14ac:dyDescent="0.35"/>
    <row r="27" spans="2:9" ht="36" customHeight="1" x14ac:dyDescent="0.35">
      <c r="B27" s="39" t="s">
        <v>143</v>
      </c>
      <c r="C27" s="2" t="s">
        <v>144</v>
      </c>
      <c r="D27" s="2"/>
      <c r="E27" s="2"/>
      <c r="F27" s="2"/>
      <c r="G27" s="2"/>
      <c r="H27" s="2"/>
      <c r="I27" s="2"/>
    </row>
    <row r="28" spans="2:9" ht="24" customHeight="1" x14ac:dyDescent="0.35"/>
    <row r="29" spans="2:9" ht="39.75" customHeight="1" x14ac:dyDescent="0.35">
      <c r="B29" s="40" t="s">
        <v>145</v>
      </c>
      <c r="C29" s="2" t="s">
        <v>146</v>
      </c>
      <c r="D29" s="2"/>
      <c r="E29" s="2"/>
      <c r="F29" s="2"/>
      <c r="G29" s="2"/>
      <c r="H29" s="2"/>
      <c r="I29" s="2"/>
    </row>
  </sheetData>
  <mergeCells count="11">
    <mergeCell ref="C29:I29"/>
    <mergeCell ref="C16:E16"/>
    <mergeCell ref="C19:E19"/>
    <mergeCell ref="C22:E22"/>
    <mergeCell ref="C25:I25"/>
    <mergeCell ref="C27:I27"/>
    <mergeCell ref="B2:I2"/>
    <mergeCell ref="C4:I4"/>
    <mergeCell ref="C7:E7"/>
    <mergeCell ref="C10:E10"/>
    <mergeCell ref="C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A580C"/>
  </sheetPr>
  <dimension ref="B1:G36"/>
  <sheetViews>
    <sheetView showGridLines="0" zoomScaleNormal="100" workbookViewId="0">
      <selection activeCell="D30" sqref="D30"/>
    </sheetView>
  </sheetViews>
  <sheetFormatPr baseColWidth="10" defaultColWidth="8.6328125" defaultRowHeight="15" customHeight="1" x14ac:dyDescent="0.35"/>
  <cols>
    <col min="1" max="1" width="4" customWidth="1"/>
    <col min="2" max="2" width="20" customWidth="1"/>
    <col min="3" max="7" width="24" customWidth="1"/>
  </cols>
  <sheetData>
    <row r="1" spans="2:7" ht="21.75" customHeight="1" x14ac:dyDescent="0.35"/>
    <row r="2" spans="2:7" ht="21.75" customHeight="1" x14ac:dyDescent="0.35">
      <c r="B2" s="6" t="s">
        <v>147</v>
      </c>
      <c r="C2" s="6"/>
      <c r="D2" s="6"/>
      <c r="E2" s="6"/>
      <c r="F2" s="6"/>
      <c r="G2" s="6"/>
    </row>
    <row r="3" spans="2:7" ht="21.75" customHeight="1" x14ac:dyDescent="0.35"/>
    <row r="4" spans="2:7" ht="21.75" customHeight="1" x14ac:dyDescent="0.35">
      <c r="B4" s="1" t="s">
        <v>148</v>
      </c>
      <c r="C4" s="1"/>
      <c r="D4" s="1"/>
      <c r="E4" s="1"/>
      <c r="F4" s="1"/>
      <c r="G4" s="1"/>
    </row>
    <row r="5" spans="2:7" ht="39.75" customHeight="1" x14ac:dyDescent="0.35">
      <c r="B5" s="39" t="s">
        <v>149</v>
      </c>
      <c r="C5" s="2" t="s">
        <v>150</v>
      </c>
      <c r="D5" s="2"/>
      <c r="E5" s="2"/>
      <c r="F5" s="2"/>
      <c r="G5" s="2"/>
    </row>
    <row r="6" spans="2:7" ht="21.75" customHeight="1" x14ac:dyDescent="0.35"/>
    <row r="7" spans="2:7" ht="39.75" customHeight="1" x14ac:dyDescent="0.35">
      <c r="B7" s="39" t="s">
        <v>151</v>
      </c>
      <c r="C7" s="2" t="s">
        <v>152</v>
      </c>
      <c r="D7" s="2"/>
      <c r="E7" s="2"/>
      <c r="F7" s="2"/>
      <c r="G7" s="2"/>
    </row>
    <row r="8" spans="2:7" ht="21.75" customHeight="1" x14ac:dyDescent="0.35"/>
    <row r="9" spans="2:7" ht="21.75" customHeight="1" x14ac:dyDescent="0.35">
      <c r="B9" s="1" t="s">
        <v>153</v>
      </c>
      <c r="C9" s="1"/>
      <c r="D9" s="1"/>
      <c r="E9" s="1"/>
      <c r="F9" s="1"/>
      <c r="G9" s="1"/>
    </row>
    <row r="10" spans="2:7" ht="39.75" customHeight="1" x14ac:dyDescent="0.35">
      <c r="B10" s="39" t="s">
        <v>154</v>
      </c>
      <c r="C10" s="2" t="s">
        <v>155</v>
      </c>
      <c r="D10" s="2"/>
      <c r="E10" s="2"/>
      <c r="F10" s="2"/>
      <c r="G10" s="2"/>
    </row>
    <row r="11" spans="2:7" ht="21.75" customHeight="1" x14ac:dyDescent="0.35"/>
    <row r="12" spans="2:7" ht="39.75" customHeight="1" x14ac:dyDescent="0.35">
      <c r="B12" s="39" t="s">
        <v>156</v>
      </c>
      <c r="C12" s="2" t="s">
        <v>157</v>
      </c>
      <c r="D12" s="2"/>
      <c r="E12" s="2"/>
      <c r="F12" s="2"/>
      <c r="G12" s="2"/>
    </row>
    <row r="13" spans="2:7" ht="21.75" customHeight="1" x14ac:dyDescent="0.35"/>
    <row r="14" spans="2:7" ht="21.75" customHeight="1" x14ac:dyDescent="0.35">
      <c r="B14" s="1" t="s">
        <v>158</v>
      </c>
      <c r="C14" s="1"/>
      <c r="D14" s="1"/>
      <c r="E14" s="1"/>
      <c r="F14" s="1"/>
      <c r="G14" s="1"/>
    </row>
    <row r="15" spans="2:7" ht="39.75" customHeight="1" x14ac:dyDescent="0.35">
      <c r="B15" s="39" t="s">
        <v>159</v>
      </c>
      <c r="C15" s="2" t="s">
        <v>160</v>
      </c>
      <c r="D15" s="2"/>
      <c r="E15" s="2"/>
      <c r="F15" s="2"/>
      <c r="G15" s="2"/>
    </row>
    <row r="16" spans="2:7" ht="21.75" customHeight="1" x14ac:dyDescent="0.35"/>
    <row r="17" spans="2:7" ht="39.75" customHeight="1" x14ac:dyDescent="0.35">
      <c r="B17" s="39" t="s">
        <v>161</v>
      </c>
      <c r="C17" s="2" t="s">
        <v>162</v>
      </c>
      <c r="D17" s="2"/>
      <c r="E17" s="2"/>
      <c r="F17" s="2"/>
      <c r="G17" s="2"/>
    </row>
    <row r="18" spans="2:7" ht="21.75" customHeight="1" x14ac:dyDescent="0.35"/>
    <row r="19" spans="2:7" ht="21.75" customHeight="1" x14ac:dyDescent="0.35">
      <c r="B19" s="1" t="s">
        <v>163</v>
      </c>
      <c r="C19" s="1"/>
      <c r="D19" s="1"/>
      <c r="E19" s="1"/>
      <c r="F19" s="1"/>
      <c r="G19" s="1"/>
    </row>
    <row r="20" spans="2:7" ht="39.75" customHeight="1" x14ac:dyDescent="0.35">
      <c r="B20" s="39" t="s">
        <v>164</v>
      </c>
      <c r="C20" s="2" t="s">
        <v>165</v>
      </c>
      <c r="D20" s="2"/>
      <c r="E20" s="2"/>
      <c r="F20" s="2"/>
      <c r="G20" s="2"/>
    </row>
    <row r="21" spans="2:7" ht="21.75" customHeight="1" x14ac:dyDescent="0.35"/>
    <row r="22" spans="2:7" ht="39.75" customHeight="1" x14ac:dyDescent="0.35">
      <c r="B22" s="39" t="s">
        <v>166</v>
      </c>
      <c r="C22" s="2" t="s">
        <v>167</v>
      </c>
      <c r="D22" s="2"/>
      <c r="E22" s="2"/>
      <c r="F22" s="2"/>
      <c r="G22" s="2"/>
    </row>
    <row r="23" spans="2:7" ht="21.75" customHeight="1" x14ac:dyDescent="0.35"/>
    <row r="24" spans="2:7" ht="39.75" customHeight="1" x14ac:dyDescent="0.35">
      <c r="B24" s="39" t="s">
        <v>168</v>
      </c>
      <c r="C24" s="2" t="s">
        <v>169</v>
      </c>
      <c r="D24" s="2"/>
      <c r="E24" s="2"/>
      <c r="F24" s="2"/>
      <c r="G24" s="2"/>
    </row>
    <row r="25" spans="2:7" ht="21.75" customHeight="1" x14ac:dyDescent="0.35"/>
    <row r="26" spans="2:7" ht="21.75" customHeight="1" x14ac:dyDescent="0.35">
      <c r="B26" s="1" t="s">
        <v>170</v>
      </c>
      <c r="C26" s="1"/>
      <c r="D26" s="1"/>
      <c r="E26" s="1"/>
      <c r="F26" s="1"/>
      <c r="G26" s="1"/>
    </row>
    <row r="27" spans="2:7" ht="39.75" customHeight="1" x14ac:dyDescent="0.35">
      <c r="B27" s="39" t="s">
        <v>171</v>
      </c>
      <c r="C27" s="2" t="s">
        <v>172</v>
      </c>
      <c r="D27" s="2"/>
      <c r="E27" s="2"/>
      <c r="F27" s="2"/>
      <c r="G27" s="2"/>
    </row>
    <row r="28" spans="2:7" ht="21.75" customHeight="1" x14ac:dyDescent="0.35"/>
    <row r="29" spans="2:7" ht="39.75" customHeight="1" x14ac:dyDescent="0.35">
      <c r="B29" s="39" t="s">
        <v>173</v>
      </c>
      <c r="C29" s="2" t="s">
        <v>174</v>
      </c>
      <c r="D29" s="2"/>
      <c r="E29" s="2"/>
      <c r="F29" s="2"/>
      <c r="G29" s="2"/>
    </row>
    <row r="30" spans="2:7" ht="21.75" customHeight="1" x14ac:dyDescent="0.35"/>
    <row r="31" spans="2:7" ht="21.75" customHeight="1" x14ac:dyDescent="0.35"/>
    <row r="32" spans="2:7" ht="21.75" customHeight="1" x14ac:dyDescent="0.35"/>
    <row r="33" ht="21.75" customHeight="1" x14ac:dyDescent="0.35"/>
    <row r="34" ht="21.75" customHeight="1" x14ac:dyDescent="0.35"/>
    <row r="35" ht="21.75" customHeight="1" x14ac:dyDescent="0.35"/>
    <row r="36" ht="21.75" customHeight="1" x14ac:dyDescent="0.35"/>
  </sheetData>
  <mergeCells count="17">
    <mergeCell ref="C27:G27"/>
    <mergeCell ref="C29:G29"/>
    <mergeCell ref="B19:G19"/>
    <mergeCell ref="C20:G20"/>
    <mergeCell ref="C22:G22"/>
    <mergeCell ref="C24:G24"/>
    <mergeCell ref="B26:G26"/>
    <mergeCell ref="C10:G10"/>
    <mergeCell ref="C12:G12"/>
    <mergeCell ref="B14:G14"/>
    <mergeCell ref="C15:G15"/>
    <mergeCell ref="C17:G17"/>
    <mergeCell ref="B2:G2"/>
    <mergeCell ref="B4:G4"/>
    <mergeCell ref="C5:G5"/>
    <mergeCell ref="C7:G7"/>
    <mergeCell ref="B9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zoomScaleNormal="100" workbookViewId="0"/>
  </sheetViews>
  <sheetFormatPr baseColWidth="10" defaultColWidth="8.6328125" defaultRowHeight="15" customHeight="1" x14ac:dyDescent="0.35"/>
  <sheetData>
    <row r="1" spans="1:5" x14ac:dyDescent="0.35">
      <c r="A1" t="s">
        <v>111</v>
      </c>
      <c r="B1" t="s">
        <v>111</v>
      </c>
      <c r="D1" t="s">
        <v>104</v>
      </c>
      <c r="E1" t="s">
        <v>103</v>
      </c>
    </row>
    <row r="2" spans="1:5" x14ac:dyDescent="0.35">
      <c r="A2" t="s">
        <v>35</v>
      </c>
      <c r="B2" t="s">
        <v>36</v>
      </c>
      <c r="D2" t="s">
        <v>36</v>
      </c>
      <c r="E2" t="s">
        <v>35</v>
      </c>
    </row>
    <row r="3" spans="1:5" x14ac:dyDescent="0.35">
      <c r="A3" t="s">
        <v>42</v>
      </c>
      <c r="B3" t="s">
        <v>37</v>
      </c>
      <c r="D3" t="s">
        <v>37</v>
      </c>
      <c r="E3" t="s">
        <v>42</v>
      </c>
    </row>
    <row r="4" spans="1:5" x14ac:dyDescent="0.35">
      <c r="B4" t="s">
        <v>40</v>
      </c>
      <c r="D4" t="s"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Portada</vt:lpstr>
      <vt:lpstr>Datos_Raw</vt:lpstr>
      <vt:lpstr>Datos_Limpios</vt:lpstr>
      <vt:lpstr>Dashboard</vt:lpstr>
      <vt:lpstr>Pronostico</vt:lpstr>
      <vt:lpstr>Resumen</vt:lpstr>
      <vt:lpstr>Documentacion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Salvador</dc:creator>
  <cp:lastModifiedBy>Alexandra Salvador</cp:lastModifiedBy>
  <dcterms:created xsi:type="dcterms:W3CDTF">2026-03-11T02:22:00Z</dcterms:created>
  <dcterms:modified xsi:type="dcterms:W3CDTF">2026-03-11T02:24:20Z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2026-03-11T01:21:29Z</dcterms:created>
  <dc:creator>openpyxl</dc:creator>
  <dc:description/>
  <dc:language>en-US</dc:language>
  <cp:lastModifiedBy/>
  <dcterms:modified xsi:type="dcterms:W3CDTF">2026-03-11T01:28:05Z</dcterms:modified>
  <cp:revision>0</cp:revision>
  <dc:subject/>
  <dc:title/>
</cp:coreProperties>
</file>